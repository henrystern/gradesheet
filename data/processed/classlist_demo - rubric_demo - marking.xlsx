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stern\projects\gradesheet\data\processed\"/>
    </mc:Choice>
  </mc:AlternateContent>
  <xr:revisionPtr revIDLastSave="0" documentId="13_ncr:1_{C06E8970-58BB-436D-955C-412F6903311A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Rubric" sheetId="1" r:id="rId1"/>
    <sheet name="Grades" sheetId="3" r:id="rId2"/>
    <sheet name="Marking" sheetId="2" r:id="rId3"/>
  </sheet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H57" i="2"/>
  <c r="E57" i="2" a="1"/>
  <c r="E57" i="2" s="1"/>
  <c r="H56" i="2"/>
  <c r="E56" i="2" a="1"/>
  <c r="E56" i="2" s="1"/>
  <c r="H55" i="2"/>
  <c r="E55" i="2" a="1"/>
  <c r="E55" i="2" s="1"/>
  <c r="H54" i="2"/>
  <c r="E54" i="2" a="1"/>
  <c r="E54" i="2" s="1"/>
  <c r="H53" i="2"/>
  <c r="E53" i="2" a="1"/>
  <c r="E53" i="2" s="1"/>
  <c r="H52" i="2"/>
  <c r="E52" i="2" a="1"/>
  <c r="E52" i="2" s="1"/>
  <c r="H51" i="2"/>
  <c r="E51" i="2" a="1"/>
  <c r="E51" i="2"/>
  <c r="H50" i="2"/>
  <c r="E50" i="2" a="1"/>
  <c r="E50" i="2" s="1"/>
  <c r="H49" i="2"/>
  <c r="E49" i="2" a="1"/>
  <c r="E49" i="2" s="1"/>
  <c r="H48" i="2"/>
  <c r="E48" i="2" a="1"/>
  <c r="E48" i="2" s="1"/>
  <c r="H47" i="2"/>
  <c r="E47" i="2" a="1"/>
  <c r="E47" i="2" s="1"/>
  <c r="H46" i="2"/>
  <c r="E46" i="2" a="1"/>
  <c r="E46" i="2" s="1"/>
  <c r="H45" i="2"/>
  <c r="E45" i="2" a="1"/>
  <c r="E45" i="2" s="1"/>
  <c r="H44" i="2"/>
  <c r="E44" i="2" a="1"/>
  <c r="E44" i="2" s="1"/>
  <c r="H43" i="2"/>
  <c r="E43" i="2" a="1"/>
  <c r="E43" i="2" s="1"/>
  <c r="H42" i="2"/>
  <c r="E42" i="2" a="1"/>
  <c r="E42" i="2" s="1"/>
  <c r="H41" i="2"/>
  <c r="E41" i="2" a="1"/>
  <c r="E41" i="2"/>
  <c r="H40" i="2"/>
  <c r="E40" i="2" a="1"/>
  <c r="E40" i="2" s="1"/>
  <c r="H39" i="2"/>
  <c r="E39" i="2" a="1"/>
  <c r="E39" i="2" s="1"/>
  <c r="H38" i="2"/>
  <c r="E38" i="2" a="1"/>
  <c r="E38" i="2" s="1"/>
  <c r="H37" i="2"/>
  <c r="E37" i="2" a="1"/>
  <c r="E37" i="2" s="1"/>
  <c r="H36" i="2"/>
  <c r="E36" i="2" a="1"/>
  <c r="E36" i="2" s="1"/>
  <c r="H35" i="2"/>
  <c r="E35" i="2" a="1"/>
  <c r="E35" i="2" s="1"/>
  <c r="H34" i="2"/>
  <c r="E34" i="2" a="1"/>
  <c r="E34" i="2" s="1"/>
  <c r="H33" i="2"/>
  <c r="E33" i="2" a="1"/>
  <c r="E33" i="2"/>
  <c r="H32" i="2"/>
  <c r="E32" i="2" a="1"/>
  <c r="E32" i="2" s="1"/>
  <c r="H31" i="2"/>
  <c r="E31" i="2" a="1"/>
  <c r="E31" i="2" s="1"/>
  <c r="H30" i="2"/>
  <c r="E30" i="2" a="1"/>
  <c r="E30" i="2"/>
  <c r="H29" i="2"/>
  <c r="E29" i="2" a="1"/>
  <c r="E29" i="2"/>
  <c r="H28" i="2"/>
  <c r="E28" i="2" a="1"/>
  <c r="E28" i="2" s="1"/>
  <c r="H27" i="2"/>
  <c r="E27" i="2" a="1"/>
  <c r="E27" i="2" s="1"/>
  <c r="H26" i="2"/>
  <c r="E26" i="2" a="1"/>
  <c r="E26" i="2" s="1"/>
  <c r="H25" i="2"/>
  <c r="E25" i="2" a="1"/>
  <c r="E25" i="2"/>
  <c r="H24" i="2"/>
  <c r="E24" i="2" a="1"/>
  <c r="E24" i="2" s="1"/>
  <c r="H23" i="2"/>
  <c r="E23" i="2" a="1"/>
  <c r="E23" i="2" s="1"/>
  <c r="H22" i="2"/>
  <c r="E22" i="2" a="1"/>
  <c r="E22" i="2"/>
  <c r="H21" i="2"/>
  <c r="E21" i="2" a="1"/>
  <c r="E21" i="2" s="1"/>
  <c r="H20" i="2"/>
  <c r="E20" i="2" a="1"/>
  <c r="E20" i="2" s="1"/>
  <c r="H19" i="2"/>
  <c r="E19" i="2" a="1"/>
  <c r="E19" i="2"/>
  <c r="H18" i="2"/>
  <c r="E18" i="2" a="1"/>
  <c r="E18" i="2" s="1"/>
  <c r="H17" i="2"/>
  <c r="E17" i="2" a="1"/>
  <c r="E17" i="2" s="1"/>
  <c r="H16" i="2"/>
  <c r="E16" i="2" a="1"/>
  <c r="E16" i="2" s="1"/>
  <c r="H15" i="2"/>
  <c r="E15" i="2" a="1"/>
  <c r="E15" i="2" s="1"/>
  <c r="H14" i="2"/>
  <c r="E14" i="2" a="1"/>
  <c r="E14" i="2" s="1"/>
  <c r="H13" i="2"/>
  <c r="E13" i="2" a="1"/>
  <c r="E13" i="2" s="1"/>
  <c r="H12" i="2"/>
  <c r="E12" i="2" a="1"/>
  <c r="E12" i="2" s="1"/>
  <c r="H11" i="2"/>
  <c r="E11" i="2" a="1"/>
  <c r="E11" i="2" s="1"/>
  <c r="H10" i="2"/>
  <c r="E10" i="2" a="1"/>
  <c r="E10" i="2" s="1"/>
  <c r="H9" i="2"/>
  <c r="E9" i="2" a="1"/>
  <c r="E9" i="2" s="1"/>
  <c r="H8" i="2"/>
  <c r="E8" i="2" a="1"/>
  <c r="E8" i="2" s="1"/>
  <c r="H7" i="2"/>
  <c r="E7" i="2" a="1"/>
  <c r="E7" i="2" s="1"/>
  <c r="H6" i="2"/>
  <c r="E6" i="2" a="1"/>
  <c r="E6" i="2" s="1"/>
  <c r="H5" i="2"/>
  <c r="E5" i="2" a="1"/>
  <c r="E5" i="2" s="1"/>
  <c r="H4" i="2"/>
  <c r="E4" i="2" a="1"/>
  <c r="E4" i="2" s="1"/>
  <c r="H3" i="2"/>
  <c r="E3" i="2" a="1"/>
  <c r="E3" i="2" s="1"/>
  <c r="H2" i="2"/>
  <c r="E2" i="2" a="1"/>
  <c r="E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<sst xmlns="http://schemas.openxmlformats.org/spreadsheetml/2006/main" count="262" uniqueCount="40">
  <si>
    <t>Question</t>
  </si>
  <si>
    <t>Max score</t>
  </si>
  <si>
    <t>1A)</t>
  </si>
  <si>
    <t>1B)</t>
  </si>
  <si>
    <t>1C)</t>
  </si>
  <si>
    <t>1D)</t>
  </si>
  <si>
    <t>2A)</t>
  </si>
  <si>
    <t>2B)</t>
  </si>
  <si>
    <t>2C)</t>
  </si>
  <si>
    <t>Last Name</t>
  </si>
  <si>
    <t>First Name</t>
  </si>
  <si>
    <t>OrgDefinedId</t>
  </si>
  <si>
    <t>Deductions</t>
  </si>
  <si>
    <t>Comment</t>
  </si>
  <si>
    <t>Score</t>
  </si>
  <si>
    <t>Belcher</t>
  </si>
  <si>
    <t>Gene</t>
  </si>
  <si>
    <t>#BelGen</t>
  </si>
  <si>
    <t>Louise</t>
  </si>
  <si>
    <t>#BelLou2</t>
  </si>
  <si>
    <t>Tina</t>
  </si>
  <si>
    <t>#BelTin</t>
  </si>
  <si>
    <t>Busch</t>
  </si>
  <si>
    <t>Regular-Sized Rudy</t>
  </si>
  <si>
    <t>#BusRud</t>
  </si>
  <si>
    <t>Pesto</t>
  </si>
  <si>
    <t>Andy</t>
  </si>
  <si>
    <t>#PesAnd</t>
  </si>
  <si>
    <t>Jimmy Jr.</t>
  </si>
  <si>
    <t>#PesJim</t>
  </si>
  <si>
    <t>Ollie</t>
  </si>
  <si>
    <t>#PesOll</t>
  </si>
  <si>
    <t>Samali</t>
  </si>
  <si>
    <t>Zeke</t>
  </si>
  <si>
    <t>#SamZek</t>
  </si>
  <si>
    <t>Progress</t>
  </si>
  <si>
    <t>Row Labels</t>
  </si>
  <si>
    <t>Grand Total</t>
  </si>
  <si>
    <t>Column Labels</t>
  </si>
  <si>
    <t>Sum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</si>
</sst>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2">
    <dxf>
      <numFmt numFmtId="14" formatCode="0.00%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" refreshedDate="46026.596677430556" createdVersion="8" refreshedVersion="8" minRefreshableVersion="3" recordCount="56" xr:uid="{FE7039C6-EF37-4552-89E4-D1F9ADAB4BB9}">
  <cacheSource type="worksheet">
    <worksheetSource name="Marks"/>
  </cacheSource>
  <cacheFields count="9">
    <cacheField name="Last Name" numFmtId="0">
      <sharedItems/>
    </cacheField>
    <cacheField name="First Name" numFmtId="0">
      <sharedItems/>
    </cacheField>
    <cacheField name="OrgDefinedId" numFmtId="0">
      <sharedItems count="8">
        <s v="#BelGen"/>
        <s v="#BelLou2"/>
        <s v="#BelTin"/>
        <s v="#BusRud"/>
        <s v="#PesAnd"/>
        <s v="#PesJim"/>
        <s v="#PesOll"/>
        <s v="#SamZek"/>
      </sharedItems>
    </cacheField>
    <cacheField name="Question" numFmtId="0">
      <sharedItems count="7">
        <s v="1A)"/>
        <s v="1B)"/>
        <s v="1C)"/>
        <s v="1D)"/>
        <s v="2A)"/>
        <s v="2B)"/>
        <s v="2C)"/>
      </sharedItems>
    </cacheField>
    <cacheField name="Max score" numFmtId="0">
      <sharedItems containsSemiMixedTypes="0" containsString="0" containsNumber="1" containsInteger="1" minValue="2" maxValue="5"/>
    </cacheField>
    <cacheField name="Deductions" numFmtId="0">
      <sharedItems containsNonDate="0" containsString="0" containsBlank="1"/>
    </cacheField>
    <cacheField name="Comment" numFmtId="0">
      <sharedItems containsNonDate="0" containsString="0" containsBlank="1"/>
    </cacheField>
    <cacheField name="Score" numFmtId="0">
      <sharedItems count="1">
        <s v=""/>
      </sharedItems>
    </cacheField>
    <cacheField name="Progress" numFmtId="1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Belcher"/>
    <s v="Gene"/>
    <x v="0"/>
    <x v="0"/>
    <n v="4"/>
    <m/>
    <m/>
    <x v="0"/>
    <n v="0"/>
  </r>
  <r>
    <s v="Belcher"/>
    <s v="Gene"/>
    <x v="0"/>
    <x v="1"/>
    <n v="2"/>
    <m/>
    <m/>
    <x v="0"/>
    <n v="0"/>
  </r>
  <r>
    <s v="Belcher"/>
    <s v="Gene"/>
    <x v="0"/>
    <x v="2"/>
    <n v="2"/>
    <m/>
    <m/>
    <x v="0"/>
    <n v="0"/>
  </r>
  <r>
    <s v="Belcher"/>
    <s v="Gene"/>
    <x v="0"/>
    <x v="3"/>
    <n v="2"/>
    <m/>
    <m/>
    <x v="0"/>
    <n v="0"/>
  </r>
  <r>
    <s v="Belcher"/>
    <s v="Gene"/>
    <x v="0"/>
    <x v="4"/>
    <n v="5"/>
    <m/>
    <m/>
    <x v="0"/>
    <n v="0"/>
  </r>
  <r>
    <s v="Belcher"/>
    <s v="Gene"/>
    <x v="0"/>
    <x v="5"/>
    <n v="3"/>
    <m/>
    <m/>
    <x v="0"/>
    <n v="0"/>
  </r>
  <r>
    <s v="Belcher"/>
    <s v="Gene"/>
    <x v="0"/>
    <x v="6"/>
    <n v="2"/>
    <m/>
    <m/>
    <x v="0"/>
    <n v="0"/>
  </r>
  <r>
    <s v="Belcher"/>
    <s v="Louise"/>
    <x v="1"/>
    <x v="0"/>
    <n v="4"/>
    <m/>
    <m/>
    <x v="0"/>
    <n v="0"/>
  </r>
  <r>
    <s v="Belcher"/>
    <s v="Louise"/>
    <x v="1"/>
    <x v="1"/>
    <n v="2"/>
    <m/>
    <m/>
    <x v="0"/>
    <n v="0"/>
  </r>
  <r>
    <s v="Belcher"/>
    <s v="Louise"/>
    <x v="1"/>
    <x v="2"/>
    <n v="2"/>
    <m/>
    <m/>
    <x v="0"/>
    <n v="0"/>
  </r>
  <r>
    <s v="Belcher"/>
    <s v="Louise"/>
    <x v="1"/>
    <x v="3"/>
    <n v="2"/>
    <m/>
    <m/>
    <x v="0"/>
    <n v="0"/>
  </r>
  <r>
    <s v="Belcher"/>
    <s v="Louise"/>
    <x v="1"/>
    <x v="4"/>
    <n v="5"/>
    <m/>
    <m/>
    <x v="0"/>
    <n v="0"/>
  </r>
  <r>
    <s v="Belcher"/>
    <s v="Louise"/>
    <x v="1"/>
    <x v="5"/>
    <n v="3"/>
    <m/>
    <m/>
    <x v="0"/>
    <n v="0"/>
  </r>
  <r>
    <s v="Belcher"/>
    <s v="Louise"/>
    <x v="1"/>
    <x v="6"/>
    <n v="2"/>
    <m/>
    <m/>
    <x v="0"/>
    <n v="0"/>
  </r>
  <r>
    <s v="Belcher"/>
    <s v="Tina"/>
    <x v="2"/>
    <x v="0"/>
    <n v="4"/>
    <m/>
    <m/>
    <x v="0"/>
    <n v="0"/>
  </r>
  <r>
    <s v="Belcher"/>
    <s v="Tina"/>
    <x v="2"/>
    <x v="1"/>
    <n v="2"/>
    <m/>
    <m/>
    <x v="0"/>
    <n v="0"/>
  </r>
  <r>
    <s v="Belcher"/>
    <s v="Tina"/>
    <x v="2"/>
    <x v="2"/>
    <n v="2"/>
    <m/>
    <m/>
    <x v="0"/>
    <n v="0"/>
  </r>
  <r>
    <s v="Belcher"/>
    <s v="Tina"/>
    <x v="2"/>
    <x v="3"/>
    <n v="2"/>
    <m/>
    <m/>
    <x v="0"/>
    <n v="0"/>
  </r>
  <r>
    <s v="Belcher"/>
    <s v="Tina"/>
    <x v="2"/>
    <x v="4"/>
    <n v="5"/>
    <m/>
    <m/>
    <x v="0"/>
    <n v="0"/>
  </r>
  <r>
    <s v="Belcher"/>
    <s v="Tina"/>
    <x v="2"/>
    <x v="5"/>
    <n v="3"/>
    <m/>
    <m/>
    <x v="0"/>
    <n v="0"/>
  </r>
  <r>
    <s v="Belcher"/>
    <s v="Tina"/>
    <x v="2"/>
    <x v="6"/>
    <n v="2"/>
    <m/>
    <m/>
    <x v="0"/>
    <n v="0"/>
  </r>
  <r>
    <s v="Busch"/>
    <s v="Regular-Sized Rudy"/>
    <x v="3"/>
    <x v="0"/>
    <n v="4"/>
    <m/>
    <m/>
    <x v="0"/>
    <n v="0"/>
  </r>
  <r>
    <s v="Busch"/>
    <s v="Regular-Sized Rudy"/>
    <x v="3"/>
    <x v="1"/>
    <n v="2"/>
    <m/>
    <m/>
    <x v="0"/>
    <n v="0"/>
  </r>
  <r>
    <s v="Busch"/>
    <s v="Regular-Sized Rudy"/>
    <x v="3"/>
    <x v="2"/>
    <n v="2"/>
    <m/>
    <m/>
    <x v="0"/>
    <n v="0"/>
  </r>
  <r>
    <s v="Busch"/>
    <s v="Regular-Sized Rudy"/>
    <x v="3"/>
    <x v="3"/>
    <n v="2"/>
    <m/>
    <m/>
    <x v="0"/>
    <n v="0"/>
  </r>
  <r>
    <s v="Busch"/>
    <s v="Regular-Sized Rudy"/>
    <x v="3"/>
    <x v="4"/>
    <n v="5"/>
    <m/>
    <m/>
    <x v="0"/>
    <n v="0"/>
  </r>
  <r>
    <s v="Busch"/>
    <s v="Regular-Sized Rudy"/>
    <x v="3"/>
    <x v="5"/>
    <n v="3"/>
    <m/>
    <m/>
    <x v="0"/>
    <n v="0"/>
  </r>
  <r>
    <s v="Busch"/>
    <s v="Regular-Sized Rudy"/>
    <x v="3"/>
    <x v="6"/>
    <n v="2"/>
    <m/>
    <m/>
    <x v="0"/>
    <n v="0"/>
  </r>
  <r>
    <s v="Pesto"/>
    <s v="Andy"/>
    <x v="4"/>
    <x v="0"/>
    <n v="4"/>
    <m/>
    <m/>
    <x v="0"/>
    <n v="0"/>
  </r>
  <r>
    <s v="Pesto"/>
    <s v="Andy"/>
    <x v="4"/>
    <x v="1"/>
    <n v="2"/>
    <m/>
    <m/>
    <x v="0"/>
    <n v="0"/>
  </r>
  <r>
    <s v="Pesto"/>
    <s v="Andy"/>
    <x v="4"/>
    <x v="2"/>
    <n v="2"/>
    <m/>
    <m/>
    <x v="0"/>
    <n v="0"/>
  </r>
  <r>
    <s v="Pesto"/>
    <s v="Andy"/>
    <x v="4"/>
    <x v="3"/>
    <n v="2"/>
    <m/>
    <m/>
    <x v="0"/>
    <n v="0"/>
  </r>
  <r>
    <s v="Pesto"/>
    <s v="Andy"/>
    <x v="4"/>
    <x v="4"/>
    <n v="5"/>
    <m/>
    <m/>
    <x v="0"/>
    <n v="0"/>
  </r>
  <r>
    <s v="Pesto"/>
    <s v="Andy"/>
    <x v="4"/>
    <x v="5"/>
    <n v="3"/>
    <m/>
    <m/>
    <x v="0"/>
    <n v="0"/>
  </r>
  <r>
    <s v="Pesto"/>
    <s v="Andy"/>
    <x v="4"/>
    <x v="6"/>
    <n v="2"/>
    <m/>
    <m/>
    <x v="0"/>
    <n v="0"/>
  </r>
  <r>
    <s v="Pesto"/>
    <s v="Jimmy Jr."/>
    <x v="5"/>
    <x v="0"/>
    <n v="4"/>
    <m/>
    <m/>
    <x v="0"/>
    <n v="0"/>
  </r>
  <r>
    <s v="Pesto"/>
    <s v="Jimmy Jr."/>
    <x v="5"/>
    <x v="1"/>
    <n v="2"/>
    <m/>
    <m/>
    <x v="0"/>
    <n v="0"/>
  </r>
  <r>
    <s v="Pesto"/>
    <s v="Jimmy Jr."/>
    <x v="5"/>
    <x v="2"/>
    <n v="2"/>
    <m/>
    <m/>
    <x v="0"/>
    <n v="0"/>
  </r>
  <r>
    <s v="Pesto"/>
    <s v="Jimmy Jr."/>
    <x v="5"/>
    <x v="3"/>
    <n v="2"/>
    <m/>
    <m/>
    <x v="0"/>
    <n v="0"/>
  </r>
  <r>
    <s v="Pesto"/>
    <s v="Jimmy Jr."/>
    <x v="5"/>
    <x v="4"/>
    <n v="5"/>
    <m/>
    <m/>
    <x v="0"/>
    <n v="0"/>
  </r>
  <r>
    <s v="Pesto"/>
    <s v="Jimmy Jr."/>
    <x v="5"/>
    <x v="5"/>
    <n v="3"/>
    <m/>
    <m/>
    <x v="0"/>
    <n v="0"/>
  </r>
  <r>
    <s v="Pesto"/>
    <s v="Jimmy Jr."/>
    <x v="5"/>
    <x v="6"/>
    <n v="2"/>
    <m/>
    <m/>
    <x v="0"/>
    <n v="0"/>
  </r>
  <r>
    <s v="Pesto"/>
    <s v="Ollie"/>
    <x v="6"/>
    <x v="0"/>
    <n v="4"/>
    <m/>
    <m/>
    <x v="0"/>
    <n v="0"/>
  </r>
  <r>
    <s v="Pesto"/>
    <s v="Ollie"/>
    <x v="6"/>
    <x v="1"/>
    <n v="2"/>
    <m/>
    <m/>
    <x v="0"/>
    <n v="0"/>
  </r>
  <r>
    <s v="Pesto"/>
    <s v="Ollie"/>
    <x v="6"/>
    <x v="2"/>
    <n v="2"/>
    <m/>
    <m/>
    <x v="0"/>
    <n v="0"/>
  </r>
  <r>
    <s v="Pesto"/>
    <s v="Ollie"/>
    <x v="6"/>
    <x v="3"/>
    <n v="2"/>
    <m/>
    <m/>
    <x v="0"/>
    <n v="0"/>
  </r>
  <r>
    <s v="Pesto"/>
    <s v="Ollie"/>
    <x v="6"/>
    <x v="4"/>
    <n v="5"/>
    <m/>
    <m/>
    <x v="0"/>
    <n v="0"/>
  </r>
  <r>
    <s v="Pesto"/>
    <s v="Ollie"/>
    <x v="6"/>
    <x v="5"/>
    <n v="3"/>
    <m/>
    <m/>
    <x v="0"/>
    <n v="0"/>
  </r>
  <r>
    <s v="Pesto"/>
    <s v="Ollie"/>
    <x v="6"/>
    <x v="6"/>
    <n v="2"/>
    <m/>
    <m/>
    <x v="0"/>
    <n v="0"/>
  </r>
  <r>
    <s v="Samali"/>
    <s v="Zeke"/>
    <x v="7"/>
    <x v="0"/>
    <n v="4"/>
    <m/>
    <m/>
    <x v="0"/>
    <n v="0"/>
  </r>
  <r>
    <s v="Samali"/>
    <s v="Zeke"/>
    <x v="7"/>
    <x v="1"/>
    <n v="2"/>
    <m/>
    <m/>
    <x v="0"/>
    <n v="0"/>
  </r>
  <r>
    <s v="Samali"/>
    <s v="Zeke"/>
    <x v="7"/>
    <x v="2"/>
    <n v="2"/>
    <m/>
    <m/>
    <x v="0"/>
    <n v="0"/>
  </r>
  <r>
    <s v="Samali"/>
    <s v="Zeke"/>
    <x v="7"/>
    <x v="3"/>
    <n v="2"/>
    <m/>
    <m/>
    <x v="0"/>
    <n v="0"/>
  </r>
  <r>
    <s v="Samali"/>
    <s v="Zeke"/>
    <x v="7"/>
    <x v="4"/>
    <n v="5"/>
    <m/>
    <m/>
    <x v="0"/>
    <n v="0"/>
  </r>
  <r>
    <s v="Samali"/>
    <s v="Zeke"/>
    <x v="7"/>
    <x v="5"/>
    <n v="3"/>
    <m/>
    <m/>
    <x v="0"/>
    <n v="0"/>
  </r>
  <r>
    <s v="Samali"/>
    <s v="Zeke"/>
    <x v="7"/>
    <x v="6"/>
    <n v="2"/>
    <m/>
    <m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039EE-64E3-4D8F-9329-23B5623606C1}" name="PivotTable1" cacheId="7" applyNumberFormats="0" applyBorderFormats="0" applyFontFormats="0" applyPatternFormats="0" applyAlignmentFormats="0" applyWidthHeightFormats="1" dataCaption="Values" updatedVersion="8" minRefreshableVersion="3" asteriskTotals="1" showMemberPropertyTips="0" useAutoFormatting="1" pageOverThenDown="1" itemPrintTitles="1" createdVersion="8" indent="0" outline="1" outlineData="1" multipleFieldFilters="0">
  <location ref="A3:I13" firstHeaderRow="1" firstDataRow="2" firstDataCol="1"/>
  <pivotFields count="9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cor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bric" displayName="Rubric" ref="A1:B8" totalsRowShown="0">
  <autoFilter ref="A1:B8" xr:uid="{00000000-0009-0000-0100-000001000000}"/>
  <tableColumns count="2">
    <tableColumn id="1" xr3:uid="{00000000-0010-0000-0000-000001000000}" name="Question"/>
    <tableColumn id="2" xr3:uid="{00000000-0010-0000-0000-000002000000}" name="Max scor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ks" displayName="Marks" ref="A1:I57" totalsRowShown="0">
  <autoFilter ref="A1:I57" xr:uid="{00000000-0009-0000-0100-000002000000}"/>
  <tableColumns count="9">
    <tableColumn id="1" xr3:uid="{00000000-0010-0000-0100-000001000000}" name="Last Name"/>
    <tableColumn id="2" xr3:uid="{00000000-0010-0000-0100-000002000000}" name="First Name"/>
    <tableColumn id="3" xr3:uid="{00000000-0010-0000-0100-000003000000}" name="OrgDefinedId"/>
    <tableColumn id="4" xr3:uid="{00000000-0010-0000-0100-000004000000}" name="Question"/>
    <tableColumn id="5" xr3:uid="{00000000-0010-0000-0100-000005000000}" name="Max score">
      <calculatedColumnFormula>_xlfn.XLOOKUP(Marks[[#This Row],[Question]],Rubric[Question],Rubric[Max score], "", 0)</calculatedColumnFormula>
    </tableColumn>
    <tableColumn id="6" xr3:uid="{00000000-0010-0000-0100-000006000000}" name="Deductions"/>
    <tableColumn id="7" xr3:uid="{00000000-0010-0000-0100-000007000000}" name="Comment"/>
    <tableColumn id="8" xr3:uid="{00000000-0010-0000-0100-000008000000}" name="Score">
      <calculatedColumnFormula>IF(ISBLANK(Marks[[#This Row],[Deductions]]), "",Marks[[#This Row],[Max score]]-Marks[[#This Row],[Deductions]])</calculatedColumnFormula>
    </tableColumn>
    <tableColumn id="9" xr3:uid="{4631BFDA-6DBB-493D-BA92-A8D11AF9E5A5}" name="Progress" dataDxfId="0" dataCellStyle="Percent">
      <calculatedColumnFormula>_xlfn.LET(_xlpm.total, _xlfn.AGGREGATE(3, 5, Marks[Question]), _xlpm.filled, _xlfn.AGGREGATE(3, 5, Marks[Deductions]), _xlpm.filled / _xlpm.total)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" x14ac:dyDescent="0.25"/>
  <cols>
    <col min="1" max="1" width="11.42578125" bestFit="1" customWidth="1"/>
    <col min="2" max="2" width="1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4</v>
      </c>
    </row>
    <row r="3" spans="1:2" x14ac:dyDescent="0.25">
      <c r="A3" s="1" t="s">
        <v>3</v>
      </c>
      <c r="B3" s="2">
        <v>2</v>
      </c>
    </row>
    <row r="4" spans="1:2" x14ac:dyDescent="0.25">
      <c r="A4" s="1" t="s">
        <v>4</v>
      </c>
      <c r="B4" s="2">
        <v>2</v>
      </c>
    </row>
    <row r="5" spans="1:2" x14ac:dyDescent="0.25">
      <c r="A5" s="1" t="s">
        <v>5</v>
      </c>
      <c r="B5" s="2">
        <v>2</v>
      </c>
    </row>
    <row r="6" spans="1:2" x14ac:dyDescent="0.25">
      <c r="A6" s="1" t="s">
        <v>6</v>
      </c>
      <c r="B6" s="2">
        <v>5</v>
      </c>
    </row>
    <row r="7" spans="1:2" x14ac:dyDescent="0.25">
      <c r="A7" s="1" t="s">
        <v>7</v>
      </c>
      <c r="B7" s="2">
        <v>3</v>
      </c>
    </row>
    <row r="8" spans="1:2" x14ac:dyDescent="0.25">
      <c r="A8" s="1" t="s">
        <v>8</v>
      </c>
      <c r="B8" s="2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12AF-13D6-4173-AA7A-ACBFC45FCFCA}">
  <dimension ref="A3:I13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4" width="3.85546875" bestFit="1" customWidth="1"/>
    <col min="5" max="6" width="4" bestFit="1" customWidth="1"/>
    <col min="7" max="8" width="3.85546875" bestFit="1" customWidth="1"/>
    <col min="9" max="9" width="11.28515625" bestFit="1" customWidth="1"/>
  </cols>
  <sheetData>
    <row r="3" spans="1:9" x14ac:dyDescent="0.25">
      <c r="A3" s="4" t="s">
        <v>39</v>
      </c>
      <c r="B3" s="4" t="s">
        <v>38</v>
      </c>
    </row>
    <row r="4" spans="1:9" x14ac:dyDescent="0.25">
      <c r="A4" s="4" t="s">
        <v>36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37</v>
      </c>
    </row>
    <row r="5" spans="1:9" x14ac:dyDescent="0.25">
      <c r="A5" s="5" t="s">
        <v>17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</row>
    <row r="6" spans="1:9" x14ac:dyDescent="0.25">
      <c r="A6" s="5" t="s">
        <v>19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</row>
    <row r="7" spans="1:9" x14ac:dyDescent="0.25">
      <c r="A7" s="5" t="s">
        <v>21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</row>
    <row r="8" spans="1:9" x14ac:dyDescent="0.25">
      <c r="A8" s="5" t="s">
        <v>24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</row>
    <row r="9" spans="1:9" x14ac:dyDescent="0.25">
      <c r="A9" s="5" t="s">
        <v>27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</row>
    <row r="10" spans="1:9" x14ac:dyDescent="0.25">
      <c r="A10" s="5" t="s">
        <v>29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</row>
    <row r="11" spans="1:9" x14ac:dyDescent="0.25">
      <c r="A11" s="5" t="s">
        <v>31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</row>
    <row r="12" spans="1:9" x14ac:dyDescent="0.25">
      <c r="A12" s="5" t="s">
        <v>34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</row>
    <row r="13" spans="1:9" x14ac:dyDescent="0.25">
      <c r="A13" s="5" t="s">
        <v>37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2.42578125" bestFit="1" customWidth="1"/>
    <col min="2" max="2" width="18" bestFit="1" customWidth="1"/>
    <col min="3" max="3" width="15.28515625" bestFit="1" customWidth="1"/>
    <col min="4" max="4" width="11.42578125" bestFit="1" customWidth="1"/>
    <col min="5" max="5" width="12.140625" bestFit="1" customWidth="1"/>
    <col min="6" max="6" width="13.28515625" bestFit="1" customWidth="1"/>
    <col min="7" max="7" width="12" bestFit="1" customWidth="1"/>
    <col min="8" max="8" width="8.140625" bestFit="1" customWidth="1"/>
  </cols>
  <sheetData>
    <row r="1" spans="1:9" x14ac:dyDescent="0.25">
      <c r="A1" t="s">
        <v>9</v>
      </c>
      <c r="B1" t="s">
        <v>10</v>
      </c>
      <c r="C1" t="s">
        <v>11</v>
      </c>
      <c r="D1" t="s">
        <v>0</v>
      </c>
      <c r="E1" t="s">
        <v>1</v>
      </c>
      <c r="F1" t="s">
        <v>12</v>
      </c>
      <c r="G1" t="s">
        <v>13</v>
      </c>
      <c r="H1" t="s">
        <v>14</v>
      </c>
      <c r="I1" t="s">
        <v>35</v>
      </c>
    </row>
    <row r="2" spans="1:9" x14ac:dyDescent="0.25">
      <c r="A2" s="1" t="s">
        <v>15</v>
      </c>
      <c r="B2" s="1" t="s">
        <v>16</v>
      </c>
      <c r="C2" s="1" t="s">
        <v>17</v>
      </c>
      <c r="D2" s="1" t="s">
        <v>2</v>
      </c>
      <c r="E2" s="1" cm="1">
        <f t="array" ref="E2">_xlfn.XLOOKUP(Marks[[#This Row],[Question]],Rubric[Question],Rubric[Max score], "", 0)</f>
        <v>4</v>
      </c>
      <c r="F2" s="1"/>
      <c r="G2" s="1"/>
      <c r="H2" s="1" t="str">
        <f>IF(ISBLANK(Marks[[#This Row],[Deductions]]), "",Marks[[#This Row],[Max score]]-Marks[[#This Row],[Deductions]])</f>
        <v/>
      </c>
      <c r="I2" s="3">
        <f>_xlfn.LET(_xlpm.total, _xlfn.AGGREGATE(3, 5, Marks[Question]), _xlpm.filled, _xlfn.AGGREGATE(3, 5, Marks[Deductions]), _xlpm.filled / _xlpm.total)</f>
        <v>0</v>
      </c>
    </row>
    <row r="3" spans="1:9" x14ac:dyDescent="0.25">
      <c r="A3" s="1" t="s">
        <v>15</v>
      </c>
      <c r="B3" s="1" t="s">
        <v>16</v>
      </c>
      <c r="C3" s="1" t="s">
        <v>17</v>
      </c>
      <c r="D3" s="1" t="s">
        <v>3</v>
      </c>
      <c r="E3" s="1" cm="1">
        <f t="array" ref="E3">_xlfn.XLOOKUP(Marks[[#This Row],[Question]],Rubric[Question],Rubric[Max score], "", 0)</f>
        <v>2</v>
      </c>
      <c r="F3" s="1"/>
      <c r="G3" s="1"/>
      <c r="H3" s="1" t="str">
        <f>IF(ISBLANK(Marks[[#This Row],[Deductions]]), "",Marks[[#This Row],[Max score]]-Marks[[#This Row],[Deductions]])</f>
        <v/>
      </c>
      <c r="I3" s="3">
        <f>_xlfn.LET(_xlpm.total, _xlfn.AGGREGATE(3, 5, Marks[Question]), _xlpm.filled, _xlfn.AGGREGATE(3, 5, Marks[Deductions]), _xlpm.filled / _xlpm.total)</f>
        <v>0</v>
      </c>
    </row>
    <row r="4" spans="1:9" x14ac:dyDescent="0.25">
      <c r="A4" s="1" t="s">
        <v>15</v>
      </c>
      <c r="B4" s="1" t="s">
        <v>16</v>
      </c>
      <c r="C4" s="1" t="s">
        <v>17</v>
      </c>
      <c r="D4" s="1" t="s">
        <v>4</v>
      </c>
      <c r="E4" s="1" cm="1">
        <f t="array" ref="E4">_xlfn.XLOOKUP(Marks[[#This Row],[Question]],Rubric[Question],Rubric[Max score], "", 0)</f>
        <v>2</v>
      </c>
      <c r="F4" s="1"/>
      <c r="G4" s="1"/>
      <c r="H4" s="1" t="str">
        <f>IF(ISBLANK(Marks[[#This Row],[Deductions]]), "",Marks[[#This Row],[Max score]]-Marks[[#This Row],[Deductions]])</f>
        <v/>
      </c>
      <c r="I4" s="3">
        <f>_xlfn.LET(_xlpm.total, _xlfn.AGGREGATE(3, 5, Marks[Question]), _xlpm.filled, _xlfn.AGGREGATE(3, 5, Marks[Deductions]), _xlpm.filled / _xlpm.total)</f>
        <v>0</v>
      </c>
    </row>
    <row r="5" spans="1:9" x14ac:dyDescent="0.25">
      <c r="A5" s="1" t="s">
        <v>15</v>
      </c>
      <c r="B5" s="1" t="s">
        <v>16</v>
      </c>
      <c r="C5" s="1" t="s">
        <v>17</v>
      </c>
      <c r="D5" s="1" t="s">
        <v>5</v>
      </c>
      <c r="E5" s="1" cm="1">
        <f t="array" ref="E5">_xlfn.XLOOKUP(Marks[[#This Row],[Question]],Rubric[Question],Rubric[Max score], "", 0)</f>
        <v>2</v>
      </c>
      <c r="F5" s="1"/>
      <c r="G5" s="1"/>
      <c r="H5" s="1" t="str">
        <f>IF(ISBLANK(Marks[[#This Row],[Deductions]]), "",Marks[[#This Row],[Max score]]-Marks[[#This Row],[Deductions]])</f>
        <v/>
      </c>
      <c r="I5" s="3">
        <f>_xlfn.LET(_xlpm.total, _xlfn.AGGREGATE(3, 5, Marks[Question]), _xlpm.filled, _xlfn.AGGREGATE(3, 5, Marks[Deductions]), _xlpm.filled / _xlpm.total)</f>
        <v>0</v>
      </c>
    </row>
    <row r="6" spans="1:9" x14ac:dyDescent="0.25">
      <c r="A6" s="1" t="s">
        <v>15</v>
      </c>
      <c r="B6" s="1" t="s">
        <v>16</v>
      </c>
      <c r="C6" s="1" t="s">
        <v>17</v>
      </c>
      <c r="D6" s="1" t="s">
        <v>6</v>
      </c>
      <c r="E6" s="1" cm="1">
        <f t="array" ref="E6">_xlfn.XLOOKUP(Marks[[#This Row],[Question]],Rubric[Question],Rubric[Max score], "", 0)</f>
        <v>5</v>
      </c>
      <c r="F6" s="1"/>
      <c r="G6" s="1"/>
      <c r="H6" s="1" t="str">
        <f>IF(ISBLANK(Marks[[#This Row],[Deductions]]), "",Marks[[#This Row],[Max score]]-Marks[[#This Row],[Deductions]])</f>
        <v/>
      </c>
      <c r="I6" s="3">
        <f>_xlfn.LET(_xlpm.total, _xlfn.AGGREGATE(3, 5, Marks[Question]), _xlpm.filled, _xlfn.AGGREGATE(3, 5, Marks[Deductions]), _xlpm.filled / _xlpm.total)</f>
        <v>0</v>
      </c>
    </row>
    <row r="7" spans="1:9" x14ac:dyDescent="0.25">
      <c r="A7" s="1" t="s">
        <v>15</v>
      </c>
      <c r="B7" s="1" t="s">
        <v>16</v>
      </c>
      <c r="C7" s="1" t="s">
        <v>17</v>
      </c>
      <c r="D7" s="1" t="s">
        <v>7</v>
      </c>
      <c r="E7" s="1" cm="1">
        <f t="array" ref="E7">_xlfn.XLOOKUP(Marks[[#This Row],[Question]],Rubric[Question],Rubric[Max score], "", 0)</f>
        <v>3</v>
      </c>
      <c r="F7" s="1"/>
      <c r="G7" s="1"/>
      <c r="H7" s="1" t="str">
        <f>IF(ISBLANK(Marks[[#This Row],[Deductions]]), "",Marks[[#This Row],[Max score]]-Marks[[#This Row],[Deductions]])</f>
        <v/>
      </c>
      <c r="I7" s="3">
        <f>_xlfn.LET(_xlpm.total, _xlfn.AGGREGATE(3, 5, Marks[Question]), _xlpm.filled, _xlfn.AGGREGATE(3, 5, Marks[Deductions]), _xlpm.filled / _xlpm.total)</f>
        <v>0</v>
      </c>
    </row>
    <row r="8" spans="1:9" x14ac:dyDescent="0.25">
      <c r="A8" s="1" t="s">
        <v>15</v>
      </c>
      <c r="B8" s="1" t="s">
        <v>16</v>
      </c>
      <c r="C8" s="1" t="s">
        <v>17</v>
      </c>
      <c r="D8" s="1" t="s">
        <v>8</v>
      </c>
      <c r="E8" s="1" cm="1">
        <f t="array" ref="E8">_xlfn.XLOOKUP(Marks[[#This Row],[Question]],Rubric[Question],Rubric[Max score], "", 0)</f>
        <v>2</v>
      </c>
      <c r="F8" s="1"/>
      <c r="G8" s="1"/>
      <c r="H8" s="1" t="str">
        <f>IF(ISBLANK(Marks[[#This Row],[Deductions]]), "",Marks[[#This Row],[Max score]]-Marks[[#This Row],[Deductions]])</f>
        <v/>
      </c>
      <c r="I8" s="3">
        <f>_xlfn.LET(_xlpm.total, _xlfn.AGGREGATE(3, 5, Marks[Question]), _xlpm.filled, _xlfn.AGGREGATE(3, 5, Marks[Deductions]), _xlpm.filled / _xlpm.total)</f>
        <v>0</v>
      </c>
    </row>
    <row r="9" spans="1:9" x14ac:dyDescent="0.25">
      <c r="A9" s="1" t="s">
        <v>15</v>
      </c>
      <c r="B9" s="1" t="s">
        <v>18</v>
      </c>
      <c r="C9" s="1" t="s">
        <v>19</v>
      </c>
      <c r="D9" s="1" t="s">
        <v>2</v>
      </c>
      <c r="E9" s="1" cm="1">
        <f t="array" ref="E9">_xlfn.XLOOKUP(Marks[[#This Row],[Question]],Rubric[Question],Rubric[Max score], "", 0)</f>
        <v>4</v>
      </c>
      <c r="F9" s="1"/>
      <c r="G9" s="1"/>
      <c r="H9" s="1" t="str">
        <f>IF(ISBLANK(Marks[[#This Row],[Deductions]]), "",Marks[[#This Row],[Max score]]-Marks[[#This Row],[Deductions]])</f>
        <v/>
      </c>
      <c r="I9" s="3">
        <f>_xlfn.LET(_xlpm.total, _xlfn.AGGREGATE(3, 5, Marks[Question]), _xlpm.filled, _xlfn.AGGREGATE(3, 5, Marks[Deductions]), _xlpm.filled / _xlpm.total)</f>
        <v>0</v>
      </c>
    </row>
    <row r="10" spans="1:9" x14ac:dyDescent="0.25">
      <c r="A10" s="1" t="s">
        <v>15</v>
      </c>
      <c r="B10" s="1" t="s">
        <v>18</v>
      </c>
      <c r="C10" s="1" t="s">
        <v>19</v>
      </c>
      <c r="D10" s="1" t="s">
        <v>3</v>
      </c>
      <c r="E10" s="1" cm="1">
        <f t="array" ref="E10">_xlfn.XLOOKUP(Marks[[#This Row],[Question]],Rubric[Question],Rubric[Max score], "", 0)</f>
        <v>2</v>
      </c>
      <c r="F10" s="1"/>
      <c r="G10" s="1"/>
      <c r="H10" s="1" t="str">
        <f>IF(ISBLANK(Marks[[#This Row],[Deductions]]), "",Marks[[#This Row],[Max score]]-Marks[[#This Row],[Deductions]])</f>
        <v/>
      </c>
      <c r="I10" s="3">
        <f>_xlfn.LET(_xlpm.total, _xlfn.AGGREGATE(3, 5, Marks[Question]), _xlpm.filled, _xlfn.AGGREGATE(3, 5, Marks[Deductions]), _xlpm.filled / _xlpm.total)</f>
        <v>0</v>
      </c>
    </row>
    <row r="11" spans="1:9" x14ac:dyDescent="0.25">
      <c r="A11" s="1" t="s">
        <v>15</v>
      </c>
      <c r="B11" s="1" t="s">
        <v>18</v>
      </c>
      <c r="C11" s="1" t="s">
        <v>19</v>
      </c>
      <c r="D11" s="1" t="s">
        <v>4</v>
      </c>
      <c r="E11" s="1" cm="1">
        <f t="array" ref="E11">_xlfn.XLOOKUP(Marks[[#This Row],[Question]],Rubric[Question],Rubric[Max score], "", 0)</f>
        <v>2</v>
      </c>
      <c r="F11" s="1"/>
      <c r="G11" s="1"/>
      <c r="H11" s="1" t="str">
        <f>IF(ISBLANK(Marks[[#This Row],[Deductions]]), "",Marks[[#This Row],[Max score]]-Marks[[#This Row],[Deductions]])</f>
        <v/>
      </c>
      <c r="I11" s="3">
        <f>_xlfn.LET(_xlpm.total, _xlfn.AGGREGATE(3, 5, Marks[Question]), _xlpm.filled, _xlfn.AGGREGATE(3, 5, Marks[Deductions]), _xlpm.filled / _xlpm.total)</f>
        <v>0</v>
      </c>
    </row>
    <row r="12" spans="1:9" x14ac:dyDescent="0.25">
      <c r="A12" s="1" t="s">
        <v>15</v>
      </c>
      <c r="B12" s="1" t="s">
        <v>18</v>
      </c>
      <c r="C12" s="1" t="s">
        <v>19</v>
      </c>
      <c r="D12" s="1" t="s">
        <v>5</v>
      </c>
      <c r="E12" s="1" cm="1">
        <f t="array" ref="E12">_xlfn.XLOOKUP(Marks[[#This Row],[Question]],Rubric[Question],Rubric[Max score], "", 0)</f>
        <v>2</v>
      </c>
      <c r="F12" s="1"/>
      <c r="G12" s="1"/>
      <c r="H12" s="1" t="str">
        <f>IF(ISBLANK(Marks[[#This Row],[Deductions]]), "",Marks[[#This Row],[Max score]]-Marks[[#This Row],[Deductions]])</f>
        <v/>
      </c>
      <c r="I12" s="3">
        <f>_xlfn.LET(_xlpm.total, _xlfn.AGGREGATE(3, 5, Marks[Question]), _xlpm.filled, _xlfn.AGGREGATE(3, 5, Marks[Deductions]), _xlpm.filled / _xlpm.total)</f>
        <v>0</v>
      </c>
    </row>
    <row r="13" spans="1:9" x14ac:dyDescent="0.25">
      <c r="A13" s="1" t="s">
        <v>15</v>
      </c>
      <c r="B13" s="1" t="s">
        <v>18</v>
      </c>
      <c r="C13" s="1" t="s">
        <v>19</v>
      </c>
      <c r="D13" s="1" t="s">
        <v>6</v>
      </c>
      <c r="E13" s="1" cm="1">
        <f t="array" ref="E13">_xlfn.XLOOKUP(Marks[[#This Row],[Question]],Rubric[Question],Rubric[Max score], "", 0)</f>
        <v>5</v>
      </c>
      <c r="F13" s="1"/>
      <c r="G13" s="1"/>
      <c r="H13" s="1" t="str">
        <f>IF(ISBLANK(Marks[[#This Row],[Deductions]]), "",Marks[[#This Row],[Max score]]-Marks[[#This Row],[Deductions]])</f>
        <v/>
      </c>
      <c r="I13" s="3">
        <f>_xlfn.LET(_xlpm.total, _xlfn.AGGREGATE(3, 5, Marks[Question]), _xlpm.filled, _xlfn.AGGREGATE(3, 5, Marks[Deductions]), _xlpm.filled / _xlpm.total)</f>
        <v>0</v>
      </c>
    </row>
    <row r="14" spans="1:9" x14ac:dyDescent="0.25">
      <c r="A14" s="1" t="s">
        <v>15</v>
      </c>
      <c r="B14" s="1" t="s">
        <v>18</v>
      </c>
      <c r="C14" s="1" t="s">
        <v>19</v>
      </c>
      <c r="D14" s="1" t="s">
        <v>7</v>
      </c>
      <c r="E14" s="1" cm="1">
        <f t="array" ref="E14">_xlfn.XLOOKUP(Marks[[#This Row],[Question]],Rubric[Question],Rubric[Max score], "", 0)</f>
        <v>3</v>
      </c>
      <c r="F14" s="1"/>
      <c r="G14" s="1"/>
      <c r="H14" s="1" t="str">
        <f>IF(ISBLANK(Marks[[#This Row],[Deductions]]), "",Marks[[#This Row],[Max score]]-Marks[[#This Row],[Deductions]])</f>
        <v/>
      </c>
      <c r="I14" s="3">
        <f>_xlfn.LET(_xlpm.total, _xlfn.AGGREGATE(3, 5, Marks[Question]), _xlpm.filled, _xlfn.AGGREGATE(3, 5, Marks[Deductions]), _xlpm.filled / _xlpm.total)</f>
        <v>0</v>
      </c>
    </row>
    <row r="15" spans="1:9" x14ac:dyDescent="0.25">
      <c r="A15" s="1" t="s">
        <v>15</v>
      </c>
      <c r="B15" s="1" t="s">
        <v>18</v>
      </c>
      <c r="C15" s="1" t="s">
        <v>19</v>
      </c>
      <c r="D15" s="1" t="s">
        <v>8</v>
      </c>
      <c r="E15" s="1" cm="1">
        <f t="array" ref="E15">_xlfn.XLOOKUP(Marks[[#This Row],[Question]],Rubric[Question],Rubric[Max score], "", 0)</f>
        <v>2</v>
      </c>
      <c r="F15" s="1"/>
      <c r="G15" s="1"/>
      <c r="H15" s="1" t="str">
        <f>IF(ISBLANK(Marks[[#This Row],[Deductions]]), "",Marks[[#This Row],[Max score]]-Marks[[#This Row],[Deductions]])</f>
        <v/>
      </c>
      <c r="I15" s="3">
        <f>_xlfn.LET(_xlpm.total, _xlfn.AGGREGATE(3, 5, Marks[Question]), _xlpm.filled, _xlfn.AGGREGATE(3, 5, Marks[Deductions]), _xlpm.filled / _xlpm.total)</f>
        <v>0</v>
      </c>
    </row>
    <row r="16" spans="1:9" x14ac:dyDescent="0.25">
      <c r="A16" s="1" t="s">
        <v>15</v>
      </c>
      <c r="B16" s="1" t="s">
        <v>20</v>
      </c>
      <c r="C16" s="1" t="s">
        <v>21</v>
      </c>
      <c r="D16" s="1" t="s">
        <v>2</v>
      </c>
      <c r="E16" s="1" cm="1">
        <f t="array" ref="E16">_xlfn.XLOOKUP(Marks[[#This Row],[Question]],Rubric[Question],Rubric[Max score], "", 0)</f>
        <v>4</v>
      </c>
      <c r="F16" s="1"/>
      <c r="G16" s="1"/>
      <c r="H16" s="1" t="str">
        <f>IF(ISBLANK(Marks[[#This Row],[Deductions]]), "",Marks[[#This Row],[Max score]]-Marks[[#This Row],[Deductions]])</f>
        <v/>
      </c>
      <c r="I16" s="3">
        <f>_xlfn.LET(_xlpm.total, _xlfn.AGGREGATE(3, 5, Marks[Question]), _xlpm.filled, _xlfn.AGGREGATE(3, 5, Marks[Deductions]), _xlpm.filled / _xlpm.total)</f>
        <v>0</v>
      </c>
    </row>
    <row r="17" spans="1:9" x14ac:dyDescent="0.25">
      <c r="A17" s="1" t="s">
        <v>15</v>
      </c>
      <c r="B17" s="1" t="s">
        <v>20</v>
      </c>
      <c r="C17" s="1" t="s">
        <v>21</v>
      </c>
      <c r="D17" s="1" t="s">
        <v>3</v>
      </c>
      <c r="E17" s="1" cm="1">
        <f t="array" ref="E17">_xlfn.XLOOKUP(Marks[[#This Row],[Question]],Rubric[Question],Rubric[Max score], "", 0)</f>
        <v>2</v>
      </c>
      <c r="F17" s="1"/>
      <c r="G17" s="1"/>
      <c r="H17" s="1" t="str">
        <f>IF(ISBLANK(Marks[[#This Row],[Deductions]]), "",Marks[[#This Row],[Max score]]-Marks[[#This Row],[Deductions]])</f>
        <v/>
      </c>
      <c r="I17" s="3">
        <f>_xlfn.LET(_xlpm.total, _xlfn.AGGREGATE(3, 5, Marks[Question]), _xlpm.filled, _xlfn.AGGREGATE(3, 5, Marks[Deductions]), _xlpm.filled / _xlpm.total)</f>
        <v>0</v>
      </c>
    </row>
    <row r="18" spans="1:9" x14ac:dyDescent="0.25">
      <c r="A18" s="1" t="s">
        <v>15</v>
      </c>
      <c r="B18" s="1" t="s">
        <v>20</v>
      </c>
      <c r="C18" s="1" t="s">
        <v>21</v>
      </c>
      <c r="D18" s="1" t="s">
        <v>4</v>
      </c>
      <c r="E18" s="1" cm="1">
        <f t="array" ref="E18">_xlfn.XLOOKUP(Marks[[#This Row],[Question]],Rubric[Question],Rubric[Max score], "", 0)</f>
        <v>2</v>
      </c>
      <c r="F18" s="1"/>
      <c r="G18" s="1"/>
      <c r="H18" s="1" t="str">
        <f>IF(ISBLANK(Marks[[#This Row],[Deductions]]), "",Marks[[#This Row],[Max score]]-Marks[[#This Row],[Deductions]])</f>
        <v/>
      </c>
      <c r="I18" s="3">
        <f>_xlfn.LET(_xlpm.total, _xlfn.AGGREGATE(3, 5, Marks[Question]), _xlpm.filled, _xlfn.AGGREGATE(3, 5, Marks[Deductions]), _xlpm.filled / _xlpm.total)</f>
        <v>0</v>
      </c>
    </row>
    <row r="19" spans="1:9" x14ac:dyDescent="0.25">
      <c r="A19" s="1" t="s">
        <v>15</v>
      </c>
      <c r="B19" s="1" t="s">
        <v>20</v>
      </c>
      <c r="C19" s="1" t="s">
        <v>21</v>
      </c>
      <c r="D19" s="1" t="s">
        <v>5</v>
      </c>
      <c r="E19" s="1" cm="1">
        <f t="array" ref="E19">_xlfn.XLOOKUP(Marks[[#This Row],[Question]],Rubric[Question],Rubric[Max score], "", 0)</f>
        <v>2</v>
      </c>
      <c r="F19" s="1"/>
      <c r="G19" s="1"/>
      <c r="H19" s="1" t="str">
        <f>IF(ISBLANK(Marks[[#This Row],[Deductions]]), "",Marks[[#This Row],[Max score]]-Marks[[#This Row],[Deductions]])</f>
        <v/>
      </c>
      <c r="I19" s="3">
        <f>_xlfn.LET(_xlpm.total, _xlfn.AGGREGATE(3, 5, Marks[Question]), _xlpm.filled, _xlfn.AGGREGATE(3, 5, Marks[Deductions]), _xlpm.filled / _xlpm.total)</f>
        <v>0</v>
      </c>
    </row>
    <row r="20" spans="1:9" x14ac:dyDescent="0.25">
      <c r="A20" s="1" t="s">
        <v>15</v>
      </c>
      <c r="B20" s="1" t="s">
        <v>20</v>
      </c>
      <c r="C20" s="1" t="s">
        <v>21</v>
      </c>
      <c r="D20" s="1" t="s">
        <v>6</v>
      </c>
      <c r="E20" s="1" cm="1">
        <f t="array" ref="E20">_xlfn.XLOOKUP(Marks[[#This Row],[Question]],Rubric[Question],Rubric[Max score], "", 0)</f>
        <v>5</v>
      </c>
      <c r="F20" s="1"/>
      <c r="G20" s="1"/>
      <c r="H20" s="1" t="str">
        <f>IF(ISBLANK(Marks[[#This Row],[Deductions]]), "",Marks[[#This Row],[Max score]]-Marks[[#This Row],[Deductions]])</f>
        <v/>
      </c>
      <c r="I20" s="3">
        <f>_xlfn.LET(_xlpm.total, _xlfn.AGGREGATE(3, 5, Marks[Question]), _xlpm.filled, _xlfn.AGGREGATE(3, 5, Marks[Deductions]), _xlpm.filled / _xlpm.total)</f>
        <v>0</v>
      </c>
    </row>
    <row r="21" spans="1:9" x14ac:dyDescent="0.25">
      <c r="A21" s="1" t="s">
        <v>15</v>
      </c>
      <c r="B21" s="1" t="s">
        <v>20</v>
      </c>
      <c r="C21" s="1" t="s">
        <v>21</v>
      </c>
      <c r="D21" s="1" t="s">
        <v>7</v>
      </c>
      <c r="E21" s="1" cm="1">
        <f t="array" ref="E21">_xlfn.XLOOKUP(Marks[[#This Row],[Question]],Rubric[Question],Rubric[Max score], "", 0)</f>
        <v>3</v>
      </c>
      <c r="F21" s="1"/>
      <c r="G21" s="1"/>
      <c r="H21" s="1" t="str">
        <f>IF(ISBLANK(Marks[[#This Row],[Deductions]]), "",Marks[[#This Row],[Max score]]-Marks[[#This Row],[Deductions]])</f>
        <v/>
      </c>
      <c r="I21" s="3">
        <f>_xlfn.LET(_xlpm.total, _xlfn.AGGREGATE(3, 5, Marks[Question]), _xlpm.filled, _xlfn.AGGREGATE(3, 5, Marks[Deductions]), _xlpm.filled / _xlpm.total)</f>
        <v>0</v>
      </c>
    </row>
    <row r="22" spans="1:9" x14ac:dyDescent="0.25">
      <c r="A22" s="1" t="s">
        <v>15</v>
      </c>
      <c r="B22" s="1" t="s">
        <v>20</v>
      </c>
      <c r="C22" s="1" t="s">
        <v>21</v>
      </c>
      <c r="D22" s="1" t="s">
        <v>8</v>
      </c>
      <c r="E22" s="1" cm="1">
        <f t="array" ref="E22">_xlfn.XLOOKUP(Marks[[#This Row],[Question]],Rubric[Question],Rubric[Max score], "", 0)</f>
        <v>2</v>
      </c>
      <c r="F22" s="1"/>
      <c r="G22" s="1"/>
      <c r="H22" s="1" t="str">
        <f>IF(ISBLANK(Marks[[#This Row],[Deductions]]), "",Marks[[#This Row],[Max score]]-Marks[[#This Row],[Deductions]])</f>
        <v/>
      </c>
      <c r="I22" s="3">
        <f>_xlfn.LET(_xlpm.total, _xlfn.AGGREGATE(3, 5, Marks[Question]), _xlpm.filled, _xlfn.AGGREGATE(3, 5, Marks[Deductions]), _xlpm.filled / _xlpm.total)</f>
        <v>0</v>
      </c>
    </row>
    <row r="23" spans="1:9" x14ac:dyDescent="0.25">
      <c r="A23" s="1" t="s">
        <v>22</v>
      </c>
      <c r="B23" s="1" t="s">
        <v>23</v>
      </c>
      <c r="C23" s="1" t="s">
        <v>24</v>
      </c>
      <c r="D23" s="1" t="s">
        <v>2</v>
      </c>
      <c r="E23" s="1" cm="1">
        <f t="array" ref="E23">_xlfn.XLOOKUP(Marks[[#This Row],[Question]],Rubric[Question],Rubric[Max score], "", 0)</f>
        <v>4</v>
      </c>
      <c r="F23" s="1"/>
      <c r="G23" s="1"/>
      <c r="H23" s="1" t="str">
        <f>IF(ISBLANK(Marks[[#This Row],[Deductions]]), "",Marks[[#This Row],[Max score]]-Marks[[#This Row],[Deductions]])</f>
        <v/>
      </c>
      <c r="I23" s="3">
        <f>_xlfn.LET(_xlpm.total, _xlfn.AGGREGATE(3, 5, Marks[Question]), _xlpm.filled, _xlfn.AGGREGATE(3, 5, Marks[Deductions]), _xlpm.filled / _xlpm.total)</f>
        <v>0</v>
      </c>
    </row>
    <row r="24" spans="1:9" x14ac:dyDescent="0.25">
      <c r="A24" s="1" t="s">
        <v>22</v>
      </c>
      <c r="B24" s="1" t="s">
        <v>23</v>
      </c>
      <c r="C24" s="1" t="s">
        <v>24</v>
      </c>
      <c r="D24" s="1" t="s">
        <v>3</v>
      </c>
      <c r="E24" s="1" cm="1">
        <f t="array" ref="E24">_xlfn.XLOOKUP(Marks[[#This Row],[Question]],Rubric[Question],Rubric[Max score], "", 0)</f>
        <v>2</v>
      </c>
      <c r="F24" s="1"/>
      <c r="G24" s="1"/>
      <c r="H24" s="1" t="str">
        <f>IF(ISBLANK(Marks[[#This Row],[Deductions]]), "",Marks[[#This Row],[Max score]]-Marks[[#This Row],[Deductions]])</f>
        <v/>
      </c>
      <c r="I24" s="3">
        <f>_xlfn.LET(_xlpm.total, _xlfn.AGGREGATE(3, 5, Marks[Question]), _xlpm.filled, _xlfn.AGGREGATE(3, 5, Marks[Deductions]), _xlpm.filled / _xlpm.total)</f>
        <v>0</v>
      </c>
    </row>
    <row r="25" spans="1:9" x14ac:dyDescent="0.25">
      <c r="A25" s="1" t="s">
        <v>22</v>
      </c>
      <c r="B25" s="1" t="s">
        <v>23</v>
      </c>
      <c r="C25" s="1" t="s">
        <v>24</v>
      </c>
      <c r="D25" s="1" t="s">
        <v>4</v>
      </c>
      <c r="E25" s="1" cm="1">
        <f t="array" ref="E25">_xlfn.XLOOKUP(Marks[[#This Row],[Question]],Rubric[Question],Rubric[Max score], "", 0)</f>
        <v>2</v>
      </c>
      <c r="F25" s="1"/>
      <c r="G25" s="1"/>
      <c r="H25" s="1" t="str">
        <f>IF(ISBLANK(Marks[[#This Row],[Deductions]]), "",Marks[[#This Row],[Max score]]-Marks[[#This Row],[Deductions]])</f>
        <v/>
      </c>
      <c r="I25" s="3">
        <f>_xlfn.LET(_xlpm.total, _xlfn.AGGREGATE(3, 5, Marks[Question]), _xlpm.filled, _xlfn.AGGREGATE(3, 5, Marks[Deductions]), _xlpm.filled / _xlpm.total)</f>
        <v>0</v>
      </c>
    </row>
    <row r="26" spans="1:9" x14ac:dyDescent="0.25">
      <c r="A26" s="1" t="s">
        <v>22</v>
      </c>
      <c r="B26" s="1" t="s">
        <v>23</v>
      </c>
      <c r="C26" s="1" t="s">
        <v>24</v>
      </c>
      <c r="D26" s="1" t="s">
        <v>5</v>
      </c>
      <c r="E26" s="1" cm="1">
        <f t="array" ref="E26">_xlfn.XLOOKUP(Marks[[#This Row],[Question]],Rubric[Question],Rubric[Max score], "", 0)</f>
        <v>2</v>
      </c>
      <c r="F26" s="1"/>
      <c r="G26" s="1"/>
      <c r="H26" s="1" t="str">
        <f>IF(ISBLANK(Marks[[#This Row],[Deductions]]), "",Marks[[#This Row],[Max score]]-Marks[[#This Row],[Deductions]])</f>
        <v/>
      </c>
      <c r="I26" s="3">
        <f>_xlfn.LET(_xlpm.total, _xlfn.AGGREGATE(3, 5, Marks[Question]), _xlpm.filled, _xlfn.AGGREGATE(3, 5, Marks[Deductions]), _xlpm.filled / _xlpm.total)</f>
        <v>0</v>
      </c>
    </row>
    <row r="27" spans="1:9" x14ac:dyDescent="0.25">
      <c r="A27" s="1" t="s">
        <v>22</v>
      </c>
      <c r="B27" s="1" t="s">
        <v>23</v>
      </c>
      <c r="C27" s="1" t="s">
        <v>24</v>
      </c>
      <c r="D27" s="1" t="s">
        <v>6</v>
      </c>
      <c r="E27" s="1" cm="1">
        <f t="array" ref="E27">_xlfn.XLOOKUP(Marks[[#This Row],[Question]],Rubric[Question],Rubric[Max score], "", 0)</f>
        <v>5</v>
      </c>
      <c r="F27" s="1"/>
      <c r="G27" s="1"/>
      <c r="H27" s="1" t="str">
        <f>IF(ISBLANK(Marks[[#This Row],[Deductions]]), "",Marks[[#This Row],[Max score]]-Marks[[#This Row],[Deductions]])</f>
        <v/>
      </c>
      <c r="I27" s="3">
        <f>_xlfn.LET(_xlpm.total, _xlfn.AGGREGATE(3, 5, Marks[Question]), _xlpm.filled, _xlfn.AGGREGATE(3, 5, Marks[Deductions]), _xlpm.filled / _xlpm.total)</f>
        <v>0</v>
      </c>
    </row>
    <row r="28" spans="1:9" x14ac:dyDescent="0.25">
      <c r="A28" s="1" t="s">
        <v>22</v>
      </c>
      <c r="B28" s="1" t="s">
        <v>23</v>
      </c>
      <c r="C28" s="1" t="s">
        <v>24</v>
      </c>
      <c r="D28" s="1" t="s">
        <v>7</v>
      </c>
      <c r="E28" s="1" cm="1">
        <f t="array" ref="E28">_xlfn.XLOOKUP(Marks[[#This Row],[Question]],Rubric[Question],Rubric[Max score], "", 0)</f>
        <v>3</v>
      </c>
      <c r="F28" s="1"/>
      <c r="G28" s="1"/>
      <c r="H28" s="1" t="str">
        <f>IF(ISBLANK(Marks[[#This Row],[Deductions]]), "",Marks[[#This Row],[Max score]]-Marks[[#This Row],[Deductions]])</f>
        <v/>
      </c>
      <c r="I28" s="3">
        <f>_xlfn.LET(_xlpm.total, _xlfn.AGGREGATE(3, 5, Marks[Question]), _xlpm.filled, _xlfn.AGGREGATE(3, 5, Marks[Deductions]), _xlpm.filled / _xlpm.total)</f>
        <v>0</v>
      </c>
    </row>
    <row r="29" spans="1:9" x14ac:dyDescent="0.25">
      <c r="A29" s="1" t="s">
        <v>22</v>
      </c>
      <c r="B29" s="1" t="s">
        <v>23</v>
      </c>
      <c r="C29" s="1" t="s">
        <v>24</v>
      </c>
      <c r="D29" s="1" t="s">
        <v>8</v>
      </c>
      <c r="E29" s="1" cm="1">
        <f t="array" ref="E29">_xlfn.XLOOKUP(Marks[[#This Row],[Question]],Rubric[Question],Rubric[Max score], "", 0)</f>
        <v>2</v>
      </c>
      <c r="F29" s="1"/>
      <c r="G29" s="1"/>
      <c r="H29" s="1" t="str">
        <f>IF(ISBLANK(Marks[[#This Row],[Deductions]]), "",Marks[[#This Row],[Max score]]-Marks[[#This Row],[Deductions]])</f>
        <v/>
      </c>
      <c r="I29" s="3">
        <f>_xlfn.LET(_xlpm.total, _xlfn.AGGREGATE(3, 5, Marks[Question]), _xlpm.filled, _xlfn.AGGREGATE(3, 5, Marks[Deductions]), _xlpm.filled / _xlpm.total)</f>
        <v>0</v>
      </c>
    </row>
    <row r="30" spans="1:9" x14ac:dyDescent="0.25">
      <c r="A30" s="1" t="s">
        <v>25</v>
      </c>
      <c r="B30" s="1" t="s">
        <v>26</v>
      </c>
      <c r="C30" s="1" t="s">
        <v>27</v>
      </c>
      <c r="D30" s="1" t="s">
        <v>2</v>
      </c>
      <c r="E30" s="1" cm="1">
        <f t="array" ref="E30">_xlfn.XLOOKUP(Marks[[#This Row],[Question]],Rubric[Question],Rubric[Max score], "", 0)</f>
        <v>4</v>
      </c>
      <c r="F30" s="1"/>
      <c r="G30" s="1"/>
      <c r="H30" s="1" t="str">
        <f>IF(ISBLANK(Marks[[#This Row],[Deductions]]), "",Marks[[#This Row],[Max score]]-Marks[[#This Row],[Deductions]])</f>
        <v/>
      </c>
      <c r="I30" s="3">
        <f>_xlfn.LET(_xlpm.total, _xlfn.AGGREGATE(3, 5, Marks[Question]), _xlpm.filled, _xlfn.AGGREGATE(3, 5, Marks[Deductions]), _xlpm.filled / _xlpm.total)</f>
        <v>0</v>
      </c>
    </row>
    <row r="31" spans="1:9" x14ac:dyDescent="0.25">
      <c r="A31" s="1" t="s">
        <v>25</v>
      </c>
      <c r="B31" s="1" t="s">
        <v>26</v>
      </c>
      <c r="C31" s="1" t="s">
        <v>27</v>
      </c>
      <c r="D31" s="1" t="s">
        <v>3</v>
      </c>
      <c r="E31" s="1" cm="1">
        <f t="array" ref="E31">_xlfn.XLOOKUP(Marks[[#This Row],[Question]],Rubric[Question],Rubric[Max score], "", 0)</f>
        <v>2</v>
      </c>
      <c r="F31" s="1"/>
      <c r="G31" s="1"/>
      <c r="H31" s="1" t="str">
        <f>IF(ISBLANK(Marks[[#This Row],[Deductions]]), "",Marks[[#This Row],[Max score]]-Marks[[#This Row],[Deductions]])</f>
        <v/>
      </c>
      <c r="I31" s="3">
        <f>_xlfn.LET(_xlpm.total, _xlfn.AGGREGATE(3, 5, Marks[Question]), _xlpm.filled, _xlfn.AGGREGATE(3, 5, Marks[Deductions]), _xlpm.filled / _xlpm.total)</f>
        <v>0</v>
      </c>
    </row>
    <row r="32" spans="1:9" x14ac:dyDescent="0.25">
      <c r="A32" s="1" t="s">
        <v>25</v>
      </c>
      <c r="B32" s="1" t="s">
        <v>26</v>
      </c>
      <c r="C32" s="1" t="s">
        <v>27</v>
      </c>
      <c r="D32" s="1" t="s">
        <v>4</v>
      </c>
      <c r="E32" s="1" cm="1">
        <f t="array" ref="E32">_xlfn.XLOOKUP(Marks[[#This Row],[Question]],Rubric[Question],Rubric[Max score], "", 0)</f>
        <v>2</v>
      </c>
      <c r="F32" s="1"/>
      <c r="G32" s="1"/>
      <c r="H32" s="1" t="str">
        <f>IF(ISBLANK(Marks[[#This Row],[Deductions]]), "",Marks[[#This Row],[Max score]]-Marks[[#This Row],[Deductions]])</f>
        <v/>
      </c>
      <c r="I32" s="3">
        <f>_xlfn.LET(_xlpm.total, _xlfn.AGGREGATE(3, 5, Marks[Question]), _xlpm.filled, _xlfn.AGGREGATE(3, 5, Marks[Deductions]), _xlpm.filled / _xlpm.total)</f>
        <v>0</v>
      </c>
    </row>
    <row r="33" spans="1:9" x14ac:dyDescent="0.25">
      <c r="A33" s="1" t="s">
        <v>25</v>
      </c>
      <c r="B33" s="1" t="s">
        <v>26</v>
      </c>
      <c r="C33" s="1" t="s">
        <v>27</v>
      </c>
      <c r="D33" s="1" t="s">
        <v>5</v>
      </c>
      <c r="E33" s="1" cm="1">
        <f t="array" ref="E33">_xlfn.XLOOKUP(Marks[[#This Row],[Question]],Rubric[Question],Rubric[Max score], "", 0)</f>
        <v>2</v>
      </c>
      <c r="F33" s="1"/>
      <c r="G33" s="1"/>
      <c r="H33" s="1" t="str">
        <f>IF(ISBLANK(Marks[[#This Row],[Deductions]]), "",Marks[[#This Row],[Max score]]-Marks[[#This Row],[Deductions]])</f>
        <v/>
      </c>
      <c r="I33" s="3">
        <f>_xlfn.LET(_xlpm.total, _xlfn.AGGREGATE(3, 5, Marks[Question]), _xlpm.filled, _xlfn.AGGREGATE(3, 5, Marks[Deductions]), _xlpm.filled / _xlpm.total)</f>
        <v>0</v>
      </c>
    </row>
    <row r="34" spans="1:9" x14ac:dyDescent="0.25">
      <c r="A34" s="1" t="s">
        <v>25</v>
      </c>
      <c r="B34" s="1" t="s">
        <v>26</v>
      </c>
      <c r="C34" s="1" t="s">
        <v>27</v>
      </c>
      <c r="D34" s="1" t="s">
        <v>6</v>
      </c>
      <c r="E34" s="1" cm="1">
        <f t="array" ref="E34">_xlfn.XLOOKUP(Marks[[#This Row],[Question]],Rubric[Question],Rubric[Max score], "", 0)</f>
        <v>5</v>
      </c>
      <c r="F34" s="1"/>
      <c r="G34" s="1"/>
      <c r="H34" s="1" t="str">
        <f>IF(ISBLANK(Marks[[#This Row],[Deductions]]), "",Marks[[#This Row],[Max score]]-Marks[[#This Row],[Deductions]])</f>
        <v/>
      </c>
      <c r="I34" s="3">
        <f>_xlfn.LET(_xlpm.total, _xlfn.AGGREGATE(3, 5, Marks[Question]), _xlpm.filled, _xlfn.AGGREGATE(3, 5, Marks[Deductions]), _xlpm.filled / _xlpm.total)</f>
        <v>0</v>
      </c>
    </row>
    <row r="35" spans="1:9" x14ac:dyDescent="0.25">
      <c r="A35" s="1" t="s">
        <v>25</v>
      </c>
      <c r="B35" s="1" t="s">
        <v>26</v>
      </c>
      <c r="C35" s="1" t="s">
        <v>27</v>
      </c>
      <c r="D35" s="1" t="s">
        <v>7</v>
      </c>
      <c r="E35" s="1" cm="1">
        <f t="array" ref="E35">_xlfn.XLOOKUP(Marks[[#This Row],[Question]],Rubric[Question],Rubric[Max score], "", 0)</f>
        <v>3</v>
      </c>
      <c r="F35" s="1"/>
      <c r="G35" s="1"/>
      <c r="H35" s="1" t="str">
        <f>IF(ISBLANK(Marks[[#This Row],[Deductions]]), "",Marks[[#This Row],[Max score]]-Marks[[#This Row],[Deductions]])</f>
        <v/>
      </c>
      <c r="I35" s="3">
        <f>_xlfn.LET(_xlpm.total, _xlfn.AGGREGATE(3, 5, Marks[Question]), _xlpm.filled, _xlfn.AGGREGATE(3, 5, Marks[Deductions]), _xlpm.filled / _xlpm.total)</f>
        <v>0</v>
      </c>
    </row>
    <row r="36" spans="1:9" x14ac:dyDescent="0.25">
      <c r="A36" s="1" t="s">
        <v>25</v>
      </c>
      <c r="B36" s="1" t="s">
        <v>26</v>
      </c>
      <c r="C36" s="1" t="s">
        <v>27</v>
      </c>
      <c r="D36" s="1" t="s">
        <v>8</v>
      </c>
      <c r="E36" s="1" cm="1">
        <f t="array" ref="E36">_xlfn.XLOOKUP(Marks[[#This Row],[Question]],Rubric[Question],Rubric[Max score], "", 0)</f>
        <v>2</v>
      </c>
      <c r="F36" s="1"/>
      <c r="G36" s="1"/>
      <c r="H36" s="1" t="str">
        <f>IF(ISBLANK(Marks[[#This Row],[Deductions]]), "",Marks[[#This Row],[Max score]]-Marks[[#This Row],[Deductions]])</f>
        <v/>
      </c>
      <c r="I36" s="3">
        <f>_xlfn.LET(_xlpm.total, _xlfn.AGGREGATE(3, 5, Marks[Question]), _xlpm.filled, _xlfn.AGGREGATE(3, 5, Marks[Deductions]), _xlpm.filled / _xlpm.total)</f>
        <v>0</v>
      </c>
    </row>
    <row r="37" spans="1:9" x14ac:dyDescent="0.25">
      <c r="A37" s="1" t="s">
        <v>25</v>
      </c>
      <c r="B37" s="1" t="s">
        <v>28</v>
      </c>
      <c r="C37" s="1" t="s">
        <v>29</v>
      </c>
      <c r="D37" s="1" t="s">
        <v>2</v>
      </c>
      <c r="E37" s="1" cm="1">
        <f t="array" ref="E37">_xlfn.XLOOKUP(Marks[[#This Row],[Question]],Rubric[Question],Rubric[Max score], "", 0)</f>
        <v>4</v>
      </c>
      <c r="F37" s="1"/>
      <c r="G37" s="1"/>
      <c r="H37" s="1" t="str">
        <f>IF(ISBLANK(Marks[[#This Row],[Deductions]]), "",Marks[[#This Row],[Max score]]-Marks[[#This Row],[Deductions]])</f>
        <v/>
      </c>
      <c r="I37" s="3">
        <f>_xlfn.LET(_xlpm.total, _xlfn.AGGREGATE(3, 5, Marks[Question]), _xlpm.filled, _xlfn.AGGREGATE(3, 5, Marks[Deductions]), _xlpm.filled / _xlpm.total)</f>
        <v>0</v>
      </c>
    </row>
    <row r="38" spans="1:9" x14ac:dyDescent="0.25">
      <c r="A38" s="1" t="s">
        <v>25</v>
      </c>
      <c r="B38" s="1" t="s">
        <v>28</v>
      </c>
      <c r="C38" s="1" t="s">
        <v>29</v>
      </c>
      <c r="D38" s="1" t="s">
        <v>3</v>
      </c>
      <c r="E38" s="1" cm="1">
        <f t="array" ref="E38">_xlfn.XLOOKUP(Marks[[#This Row],[Question]],Rubric[Question],Rubric[Max score], "", 0)</f>
        <v>2</v>
      </c>
      <c r="F38" s="1"/>
      <c r="G38" s="1"/>
      <c r="H38" s="1" t="str">
        <f>IF(ISBLANK(Marks[[#This Row],[Deductions]]), "",Marks[[#This Row],[Max score]]-Marks[[#This Row],[Deductions]])</f>
        <v/>
      </c>
      <c r="I38" s="3">
        <f>_xlfn.LET(_xlpm.total, _xlfn.AGGREGATE(3, 5, Marks[Question]), _xlpm.filled, _xlfn.AGGREGATE(3, 5, Marks[Deductions]), _xlpm.filled / _xlpm.total)</f>
        <v>0</v>
      </c>
    </row>
    <row r="39" spans="1:9" x14ac:dyDescent="0.25">
      <c r="A39" s="1" t="s">
        <v>25</v>
      </c>
      <c r="B39" s="1" t="s">
        <v>28</v>
      </c>
      <c r="C39" s="1" t="s">
        <v>29</v>
      </c>
      <c r="D39" s="1" t="s">
        <v>4</v>
      </c>
      <c r="E39" s="1" cm="1">
        <f t="array" ref="E39">_xlfn.XLOOKUP(Marks[[#This Row],[Question]],Rubric[Question],Rubric[Max score], "", 0)</f>
        <v>2</v>
      </c>
      <c r="F39" s="1"/>
      <c r="G39" s="1"/>
      <c r="H39" s="1" t="str">
        <f>IF(ISBLANK(Marks[[#This Row],[Deductions]]), "",Marks[[#This Row],[Max score]]-Marks[[#This Row],[Deductions]])</f>
        <v/>
      </c>
      <c r="I39" s="3">
        <f>_xlfn.LET(_xlpm.total, _xlfn.AGGREGATE(3, 5, Marks[Question]), _xlpm.filled, _xlfn.AGGREGATE(3, 5, Marks[Deductions]), _xlpm.filled / _xlpm.total)</f>
        <v>0</v>
      </c>
    </row>
    <row r="40" spans="1:9" x14ac:dyDescent="0.25">
      <c r="A40" s="1" t="s">
        <v>25</v>
      </c>
      <c r="B40" s="1" t="s">
        <v>28</v>
      </c>
      <c r="C40" s="1" t="s">
        <v>29</v>
      </c>
      <c r="D40" s="1" t="s">
        <v>5</v>
      </c>
      <c r="E40" s="1" cm="1">
        <f t="array" ref="E40">_xlfn.XLOOKUP(Marks[[#This Row],[Question]],Rubric[Question],Rubric[Max score], "", 0)</f>
        <v>2</v>
      </c>
      <c r="F40" s="1"/>
      <c r="G40" s="1"/>
      <c r="H40" s="1" t="str">
        <f>IF(ISBLANK(Marks[[#This Row],[Deductions]]), "",Marks[[#This Row],[Max score]]-Marks[[#This Row],[Deductions]])</f>
        <v/>
      </c>
      <c r="I40" s="3">
        <f>_xlfn.LET(_xlpm.total, _xlfn.AGGREGATE(3, 5, Marks[Question]), _xlpm.filled, _xlfn.AGGREGATE(3, 5, Marks[Deductions]), _xlpm.filled / _xlpm.total)</f>
        <v>0</v>
      </c>
    </row>
    <row r="41" spans="1:9" x14ac:dyDescent="0.25">
      <c r="A41" s="1" t="s">
        <v>25</v>
      </c>
      <c r="B41" s="1" t="s">
        <v>28</v>
      </c>
      <c r="C41" s="1" t="s">
        <v>29</v>
      </c>
      <c r="D41" s="1" t="s">
        <v>6</v>
      </c>
      <c r="E41" s="1" cm="1">
        <f t="array" ref="E41">_xlfn.XLOOKUP(Marks[[#This Row],[Question]],Rubric[Question],Rubric[Max score], "", 0)</f>
        <v>5</v>
      </c>
      <c r="F41" s="1"/>
      <c r="G41" s="1"/>
      <c r="H41" s="1" t="str">
        <f>IF(ISBLANK(Marks[[#This Row],[Deductions]]), "",Marks[[#This Row],[Max score]]-Marks[[#This Row],[Deductions]])</f>
        <v/>
      </c>
      <c r="I41" s="3">
        <f>_xlfn.LET(_xlpm.total, _xlfn.AGGREGATE(3, 5, Marks[Question]), _xlpm.filled, _xlfn.AGGREGATE(3, 5, Marks[Deductions]), _xlpm.filled / _xlpm.total)</f>
        <v>0</v>
      </c>
    </row>
    <row r="42" spans="1:9" x14ac:dyDescent="0.25">
      <c r="A42" s="1" t="s">
        <v>25</v>
      </c>
      <c r="B42" s="1" t="s">
        <v>28</v>
      </c>
      <c r="C42" s="1" t="s">
        <v>29</v>
      </c>
      <c r="D42" s="1" t="s">
        <v>7</v>
      </c>
      <c r="E42" s="1" cm="1">
        <f t="array" ref="E42">_xlfn.XLOOKUP(Marks[[#This Row],[Question]],Rubric[Question],Rubric[Max score], "", 0)</f>
        <v>3</v>
      </c>
      <c r="F42" s="1"/>
      <c r="G42" s="1"/>
      <c r="H42" s="1" t="str">
        <f>IF(ISBLANK(Marks[[#This Row],[Deductions]]), "",Marks[[#This Row],[Max score]]-Marks[[#This Row],[Deductions]])</f>
        <v/>
      </c>
      <c r="I42" s="3">
        <f>_xlfn.LET(_xlpm.total, _xlfn.AGGREGATE(3, 5, Marks[Question]), _xlpm.filled, _xlfn.AGGREGATE(3, 5, Marks[Deductions]), _xlpm.filled / _xlpm.total)</f>
        <v>0</v>
      </c>
    </row>
    <row r="43" spans="1:9" x14ac:dyDescent="0.25">
      <c r="A43" s="1" t="s">
        <v>25</v>
      </c>
      <c r="B43" s="1" t="s">
        <v>28</v>
      </c>
      <c r="C43" s="1" t="s">
        <v>29</v>
      </c>
      <c r="D43" s="1" t="s">
        <v>8</v>
      </c>
      <c r="E43" s="1" cm="1">
        <f t="array" ref="E43">_xlfn.XLOOKUP(Marks[[#This Row],[Question]],Rubric[Question],Rubric[Max score], "", 0)</f>
        <v>2</v>
      </c>
      <c r="F43" s="1"/>
      <c r="G43" s="1"/>
      <c r="H43" s="1" t="str">
        <f>IF(ISBLANK(Marks[[#This Row],[Deductions]]), "",Marks[[#This Row],[Max score]]-Marks[[#This Row],[Deductions]])</f>
        <v/>
      </c>
      <c r="I43" s="3">
        <f>_xlfn.LET(_xlpm.total, _xlfn.AGGREGATE(3, 5, Marks[Question]), _xlpm.filled, _xlfn.AGGREGATE(3, 5, Marks[Deductions]), _xlpm.filled / _xlpm.total)</f>
        <v>0</v>
      </c>
    </row>
    <row r="44" spans="1:9" x14ac:dyDescent="0.25">
      <c r="A44" s="1" t="s">
        <v>25</v>
      </c>
      <c r="B44" s="1" t="s">
        <v>30</v>
      </c>
      <c r="C44" s="1" t="s">
        <v>31</v>
      </c>
      <c r="D44" s="1" t="s">
        <v>2</v>
      </c>
      <c r="E44" s="1" cm="1">
        <f t="array" ref="E44">_xlfn.XLOOKUP(Marks[[#This Row],[Question]],Rubric[Question],Rubric[Max score], "", 0)</f>
        <v>4</v>
      </c>
      <c r="F44" s="1"/>
      <c r="G44" s="1"/>
      <c r="H44" s="1" t="str">
        <f>IF(ISBLANK(Marks[[#This Row],[Deductions]]), "",Marks[[#This Row],[Max score]]-Marks[[#This Row],[Deductions]])</f>
        <v/>
      </c>
      <c r="I44" s="3">
        <f>_xlfn.LET(_xlpm.total, _xlfn.AGGREGATE(3, 5, Marks[Question]), _xlpm.filled, _xlfn.AGGREGATE(3, 5, Marks[Deductions]), _xlpm.filled / _xlpm.total)</f>
        <v>0</v>
      </c>
    </row>
    <row r="45" spans="1:9" x14ac:dyDescent="0.25">
      <c r="A45" s="1" t="s">
        <v>25</v>
      </c>
      <c r="B45" s="1" t="s">
        <v>30</v>
      </c>
      <c r="C45" s="1" t="s">
        <v>31</v>
      </c>
      <c r="D45" s="1" t="s">
        <v>3</v>
      </c>
      <c r="E45" s="1" cm="1">
        <f t="array" ref="E45">_xlfn.XLOOKUP(Marks[[#This Row],[Question]],Rubric[Question],Rubric[Max score], "", 0)</f>
        <v>2</v>
      </c>
      <c r="F45" s="1"/>
      <c r="G45" s="1"/>
      <c r="H45" s="1" t="str">
        <f>IF(ISBLANK(Marks[[#This Row],[Deductions]]), "",Marks[[#This Row],[Max score]]-Marks[[#This Row],[Deductions]])</f>
        <v/>
      </c>
      <c r="I45" s="3">
        <f>_xlfn.LET(_xlpm.total, _xlfn.AGGREGATE(3, 5, Marks[Question]), _xlpm.filled, _xlfn.AGGREGATE(3, 5, Marks[Deductions]), _xlpm.filled / _xlpm.total)</f>
        <v>0</v>
      </c>
    </row>
    <row r="46" spans="1:9" x14ac:dyDescent="0.25">
      <c r="A46" s="1" t="s">
        <v>25</v>
      </c>
      <c r="B46" s="1" t="s">
        <v>30</v>
      </c>
      <c r="C46" s="1" t="s">
        <v>31</v>
      </c>
      <c r="D46" s="1" t="s">
        <v>4</v>
      </c>
      <c r="E46" s="1" cm="1">
        <f t="array" ref="E46">_xlfn.XLOOKUP(Marks[[#This Row],[Question]],Rubric[Question],Rubric[Max score], "", 0)</f>
        <v>2</v>
      </c>
      <c r="F46" s="1"/>
      <c r="G46" s="1"/>
      <c r="H46" s="1" t="str">
        <f>IF(ISBLANK(Marks[[#This Row],[Deductions]]), "",Marks[[#This Row],[Max score]]-Marks[[#This Row],[Deductions]])</f>
        <v/>
      </c>
      <c r="I46" s="3">
        <f>_xlfn.LET(_xlpm.total, _xlfn.AGGREGATE(3, 5, Marks[Question]), _xlpm.filled, _xlfn.AGGREGATE(3, 5, Marks[Deductions]), _xlpm.filled / _xlpm.total)</f>
        <v>0</v>
      </c>
    </row>
    <row r="47" spans="1:9" x14ac:dyDescent="0.25">
      <c r="A47" s="1" t="s">
        <v>25</v>
      </c>
      <c r="B47" s="1" t="s">
        <v>30</v>
      </c>
      <c r="C47" s="1" t="s">
        <v>31</v>
      </c>
      <c r="D47" s="1" t="s">
        <v>5</v>
      </c>
      <c r="E47" s="1" cm="1">
        <f t="array" ref="E47">_xlfn.XLOOKUP(Marks[[#This Row],[Question]],Rubric[Question],Rubric[Max score], "", 0)</f>
        <v>2</v>
      </c>
      <c r="F47" s="1"/>
      <c r="G47" s="1"/>
      <c r="H47" s="1" t="str">
        <f>IF(ISBLANK(Marks[[#This Row],[Deductions]]), "",Marks[[#This Row],[Max score]]-Marks[[#This Row],[Deductions]])</f>
        <v/>
      </c>
      <c r="I47" s="3">
        <f>_xlfn.LET(_xlpm.total, _xlfn.AGGREGATE(3, 5, Marks[Question]), _xlpm.filled, _xlfn.AGGREGATE(3, 5, Marks[Deductions]), _xlpm.filled / _xlpm.total)</f>
        <v>0</v>
      </c>
    </row>
    <row r="48" spans="1:9" x14ac:dyDescent="0.25">
      <c r="A48" s="1" t="s">
        <v>25</v>
      </c>
      <c r="B48" s="1" t="s">
        <v>30</v>
      </c>
      <c r="C48" s="1" t="s">
        <v>31</v>
      </c>
      <c r="D48" s="1" t="s">
        <v>6</v>
      </c>
      <c r="E48" s="1" cm="1">
        <f t="array" ref="E48">_xlfn.XLOOKUP(Marks[[#This Row],[Question]],Rubric[Question],Rubric[Max score], "", 0)</f>
        <v>5</v>
      </c>
      <c r="F48" s="1"/>
      <c r="G48" s="1"/>
      <c r="H48" s="1" t="str">
        <f>IF(ISBLANK(Marks[[#This Row],[Deductions]]), "",Marks[[#This Row],[Max score]]-Marks[[#This Row],[Deductions]])</f>
        <v/>
      </c>
      <c r="I48" s="3">
        <f>_xlfn.LET(_xlpm.total, _xlfn.AGGREGATE(3, 5, Marks[Question]), _xlpm.filled, _xlfn.AGGREGATE(3, 5, Marks[Deductions]), _xlpm.filled / _xlpm.total)</f>
        <v>0</v>
      </c>
    </row>
    <row r="49" spans="1:9" x14ac:dyDescent="0.25">
      <c r="A49" s="1" t="s">
        <v>25</v>
      </c>
      <c r="B49" s="1" t="s">
        <v>30</v>
      </c>
      <c r="C49" s="1" t="s">
        <v>31</v>
      </c>
      <c r="D49" s="1" t="s">
        <v>7</v>
      </c>
      <c r="E49" s="1" cm="1">
        <f t="array" ref="E49">_xlfn.XLOOKUP(Marks[[#This Row],[Question]],Rubric[Question],Rubric[Max score], "", 0)</f>
        <v>3</v>
      </c>
      <c r="F49" s="1"/>
      <c r="G49" s="1"/>
      <c r="H49" s="1" t="str">
        <f>IF(ISBLANK(Marks[[#This Row],[Deductions]]), "",Marks[[#This Row],[Max score]]-Marks[[#This Row],[Deductions]])</f>
        <v/>
      </c>
      <c r="I49" s="3">
        <f>_xlfn.LET(_xlpm.total, _xlfn.AGGREGATE(3, 5, Marks[Question]), _xlpm.filled, _xlfn.AGGREGATE(3, 5, Marks[Deductions]), _xlpm.filled / _xlpm.total)</f>
        <v>0</v>
      </c>
    </row>
    <row r="50" spans="1:9" x14ac:dyDescent="0.25">
      <c r="A50" s="1" t="s">
        <v>25</v>
      </c>
      <c r="B50" s="1" t="s">
        <v>30</v>
      </c>
      <c r="C50" s="1" t="s">
        <v>31</v>
      </c>
      <c r="D50" s="1" t="s">
        <v>8</v>
      </c>
      <c r="E50" s="1" cm="1">
        <f t="array" ref="E50">_xlfn.XLOOKUP(Marks[[#This Row],[Question]],Rubric[Question],Rubric[Max score], "", 0)</f>
        <v>2</v>
      </c>
      <c r="F50" s="1"/>
      <c r="G50" s="1"/>
      <c r="H50" s="1" t="str">
        <f>IF(ISBLANK(Marks[[#This Row],[Deductions]]), "",Marks[[#This Row],[Max score]]-Marks[[#This Row],[Deductions]])</f>
        <v/>
      </c>
      <c r="I50" s="3">
        <f>_xlfn.LET(_xlpm.total, _xlfn.AGGREGATE(3, 5, Marks[Question]), _xlpm.filled, _xlfn.AGGREGATE(3, 5, Marks[Deductions]), _xlpm.filled / _xlpm.total)</f>
        <v>0</v>
      </c>
    </row>
    <row r="51" spans="1:9" x14ac:dyDescent="0.25">
      <c r="A51" s="1" t="s">
        <v>32</v>
      </c>
      <c r="B51" s="1" t="s">
        <v>33</v>
      </c>
      <c r="C51" s="1" t="s">
        <v>34</v>
      </c>
      <c r="D51" s="1" t="s">
        <v>2</v>
      </c>
      <c r="E51" s="1" cm="1">
        <f t="array" ref="E51">_xlfn.XLOOKUP(Marks[[#This Row],[Question]],Rubric[Question],Rubric[Max score], "", 0)</f>
        <v>4</v>
      </c>
      <c r="F51" s="1"/>
      <c r="G51" s="1"/>
      <c r="H51" s="1" t="str">
        <f>IF(ISBLANK(Marks[[#This Row],[Deductions]]), "",Marks[[#This Row],[Max score]]-Marks[[#This Row],[Deductions]])</f>
        <v/>
      </c>
      <c r="I51" s="3">
        <f>_xlfn.LET(_xlpm.total, _xlfn.AGGREGATE(3, 5, Marks[Question]), _xlpm.filled, _xlfn.AGGREGATE(3, 5, Marks[Deductions]), _xlpm.filled / _xlpm.total)</f>
        <v>0</v>
      </c>
    </row>
    <row r="52" spans="1:9" x14ac:dyDescent="0.25">
      <c r="A52" s="1" t="s">
        <v>32</v>
      </c>
      <c r="B52" s="1" t="s">
        <v>33</v>
      </c>
      <c r="C52" s="1" t="s">
        <v>34</v>
      </c>
      <c r="D52" s="1" t="s">
        <v>3</v>
      </c>
      <c r="E52" s="1" cm="1">
        <f t="array" ref="E52">_xlfn.XLOOKUP(Marks[[#This Row],[Question]],Rubric[Question],Rubric[Max score], "", 0)</f>
        <v>2</v>
      </c>
      <c r="F52" s="1"/>
      <c r="G52" s="1"/>
      <c r="H52" s="1" t="str">
        <f>IF(ISBLANK(Marks[[#This Row],[Deductions]]), "",Marks[[#This Row],[Max score]]-Marks[[#This Row],[Deductions]])</f>
        <v/>
      </c>
      <c r="I52" s="3">
        <f>_xlfn.LET(_xlpm.total, _xlfn.AGGREGATE(3, 5, Marks[Question]), _xlpm.filled, _xlfn.AGGREGATE(3, 5, Marks[Deductions]), _xlpm.filled / _xlpm.total)</f>
        <v>0</v>
      </c>
    </row>
    <row r="53" spans="1:9" x14ac:dyDescent="0.25">
      <c r="A53" s="1" t="s">
        <v>32</v>
      </c>
      <c r="B53" s="1" t="s">
        <v>33</v>
      </c>
      <c r="C53" s="1" t="s">
        <v>34</v>
      </c>
      <c r="D53" s="1" t="s">
        <v>4</v>
      </c>
      <c r="E53" s="1" cm="1">
        <f t="array" ref="E53">_xlfn.XLOOKUP(Marks[[#This Row],[Question]],Rubric[Question],Rubric[Max score], "", 0)</f>
        <v>2</v>
      </c>
      <c r="F53" s="1"/>
      <c r="G53" s="1"/>
      <c r="H53" s="1" t="str">
        <f>IF(ISBLANK(Marks[[#This Row],[Deductions]]), "",Marks[[#This Row],[Max score]]-Marks[[#This Row],[Deductions]])</f>
        <v/>
      </c>
      <c r="I53" s="3">
        <f>_xlfn.LET(_xlpm.total, _xlfn.AGGREGATE(3, 5, Marks[Question]), _xlpm.filled, _xlfn.AGGREGATE(3, 5, Marks[Deductions]), _xlpm.filled / _xlpm.total)</f>
        <v>0</v>
      </c>
    </row>
    <row r="54" spans="1:9" x14ac:dyDescent="0.25">
      <c r="A54" s="1" t="s">
        <v>32</v>
      </c>
      <c r="B54" s="1" t="s">
        <v>33</v>
      </c>
      <c r="C54" s="1" t="s">
        <v>34</v>
      </c>
      <c r="D54" s="1" t="s">
        <v>5</v>
      </c>
      <c r="E54" s="1" cm="1">
        <f t="array" ref="E54">_xlfn.XLOOKUP(Marks[[#This Row],[Question]],Rubric[Question],Rubric[Max score], "", 0)</f>
        <v>2</v>
      </c>
      <c r="F54" s="1"/>
      <c r="G54" s="1"/>
      <c r="H54" s="1" t="str">
        <f>IF(ISBLANK(Marks[[#This Row],[Deductions]]), "",Marks[[#This Row],[Max score]]-Marks[[#This Row],[Deductions]])</f>
        <v/>
      </c>
      <c r="I54" s="3">
        <f>_xlfn.LET(_xlpm.total, _xlfn.AGGREGATE(3, 5, Marks[Question]), _xlpm.filled, _xlfn.AGGREGATE(3, 5, Marks[Deductions]), _xlpm.filled / _xlpm.total)</f>
        <v>0</v>
      </c>
    </row>
    <row r="55" spans="1:9" x14ac:dyDescent="0.25">
      <c r="A55" s="1" t="s">
        <v>32</v>
      </c>
      <c r="B55" s="1" t="s">
        <v>33</v>
      </c>
      <c r="C55" s="1" t="s">
        <v>34</v>
      </c>
      <c r="D55" s="1" t="s">
        <v>6</v>
      </c>
      <c r="E55" s="1" cm="1">
        <f t="array" ref="E55">_xlfn.XLOOKUP(Marks[[#This Row],[Question]],Rubric[Question],Rubric[Max score], "", 0)</f>
        <v>5</v>
      </c>
      <c r="F55" s="1"/>
      <c r="G55" s="1"/>
      <c r="H55" s="1" t="str">
        <f>IF(ISBLANK(Marks[[#This Row],[Deductions]]), "",Marks[[#This Row],[Max score]]-Marks[[#This Row],[Deductions]])</f>
        <v/>
      </c>
      <c r="I55" s="3">
        <f>_xlfn.LET(_xlpm.total, _xlfn.AGGREGATE(3, 5, Marks[Question]), _xlpm.filled, _xlfn.AGGREGATE(3, 5, Marks[Deductions]), _xlpm.filled / _xlpm.total)</f>
        <v>0</v>
      </c>
    </row>
    <row r="56" spans="1:9" x14ac:dyDescent="0.25">
      <c r="A56" s="1" t="s">
        <v>32</v>
      </c>
      <c r="B56" s="1" t="s">
        <v>33</v>
      </c>
      <c r="C56" s="1" t="s">
        <v>34</v>
      </c>
      <c r="D56" s="1" t="s">
        <v>7</v>
      </c>
      <c r="E56" s="1" cm="1">
        <f t="array" ref="E56">_xlfn.XLOOKUP(Marks[[#This Row],[Question]],Rubric[Question],Rubric[Max score], "", 0)</f>
        <v>3</v>
      </c>
      <c r="F56" s="1"/>
      <c r="G56" s="1"/>
      <c r="H56" s="1" t="str">
        <f>IF(ISBLANK(Marks[[#This Row],[Deductions]]), "",Marks[[#This Row],[Max score]]-Marks[[#This Row],[Deductions]])</f>
        <v/>
      </c>
      <c r="I56" s="3">
        <f>_xlfn.LET(_xlpm.total, _xlfn.AGGREGATE(3, 5, Marks[Question]), _xlpm.filled, _xlfn.AGGREGATE(3, 5, Marks[Deductions]), _xlpm.filled / _xlpm.total)</f>
        <v>0</v>
      </c>
    </row>
    <row r="57" spans="1:9" x14ac:dyDescent="0.25">
      <c r="A57" s="1" t="s">
        <v>32</v>
      </c>
      <c r="B57" s="1" t="s">
        <v>33</v>
      </c>
      <c r="C57" s="1" t="s">
        <v>34</v>
      </c>
      <c r="D57" s="1" t="s">
        <v>8</v>
      </c>
      <c r="E57" s="1" cm="1">
        <f t="array" ref="E57">_xlfn.XLOOKUP(Marks[[#This Row],[Question]],Rubric[Question],Rubric[Max score], "", 0)</f>
        <v>2</v>
      </c>
      <c r="F57" s="1"/>
      <c r="G57" s="1"/>
      <c r="H57" s="1" t="str">
        <f>IF(ISBLANK(Marks[[#This Row],[Deductions]]), "",Marks[[#This Row],[Max score]]-Marks[[#This Row],[Deductions]])</f>
        <v/>
      </c>
      <c r="I57" s="3">
        <f>_xlfn.LET(_xlpm.total, _xlfn.AGGREGATE(3, 5, Marks[Question]), _xlpm.filled, _xlfn.AGGREGATE(3, 5, Marks[Deductions]), _xlpm.filled / _xlpm.total)</f>
        <v>0</v>
      </c>
    </row>
  </sheetData>
  <dataValidations count="1">
    <dataValidation type="whole" allowBlank="1" showInputMessage="1" showErrorMessage="1" sqref="F2:F57" xr:uid="{824C431D-1C35-4B9B-A7A3-8790E41F07EE}">
      <formula1>0</formula1>
      <formula2>INDIRECT("RC[-1]", FALSE)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Rubric</vt:lpstr>
      <vt:lpstr>Grades</vt:lpstr>
      <vt:lpstr>Marking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Stern</cp:lastModifiedBy>
  <dcterms:created xsi:type="dcterms:W3CDTF">2026-01-04T19:18:52Z</dcterms:created>
  <dcterms:modified xsi:type="dcterms:W3CDTF">2026-01-04T19:19:19Z</dcterms:modified>
</cp:coreProperties>
</file>